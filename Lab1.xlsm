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1.xml" ContentType="application/vnd.openxmlformats-officedocument.themeOverrid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4" codeName="{3D1A710C-6663-3D7B-7F91-EC182F24A4BC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h:\Windows7\Documents\Finansowa\"/>
    </mc:Choice>
  </mc:AlternateContent>
  <xr:revisionPtr revIDLastSave="0" documentId="13_ncr:1_{02E2BBDF-B389-4239-85DF-6923C21B935A}" xr6:coauthVersionLast="36" xr6:coauthVersionMax="36" xr10:uidLastSave="{00000000-0000-0000-0000-000000000000}"/>
  <bookViews>
    <workbookView xWindow="0" yWindow="0" windowWidth="28800" windowHeight="12225" activeTab="10" xr2:uid="{7BC4D0D6-33F2-411C-A7D6-9FD72973E97F}"/>
  </bookViews>
  <sheets>
    <sheet name="Plusiki" sheetId="4" r:id="rId1"/>
    <sheet name="Lab1" sheetId="1" r:id="rId2"/>
    <sheet name="Lab2" sheetId="3" r:id="rId3"/>
    <sheet name="Lab3" sheetId="5" r:id="rId4"/>
    <sheet name="Lab3 (2)" sheetId="6" r:id="rId5"/>
    <sheet name="Lab3 (3)" sheetId="8" r:id="rId6"/>
    <sheet name="Lab3(4)" sheetId="9" r:id="rId7"/>
    <sheet name="Lab4" sheetId="10" r:id="rId8"/>
    <sheet name="Lab4(1)" sheetId="11" r:id="rId9"/>
    <sheet name="Obligacje" sheetId="12" r:id="rId10"/>
    <sheet name="Lab5" sheetId="13" r:id="rId11"/>
  </sheets>
  <functionGroups builtInGroupCount="19"/>
  <definedNames>
    <definedName name="NOMINAŁ">Obligacje!$D$3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4" l="1"/>
  <c r="C4" i="4"/>
  <c r="C5" i="4"/>
  <c r="C6" i="4"/>
  <c r="C1" i="4" s="1"/>
  <c r="C2" i="4"/>
  <c r="AO8" i="13"/>
  <c r="AO24" i="13"/>
  <c r="AO40" i="13"/>
  <c r="AO56" i="13"/>
  <c r="AO72" i="13"/>
  <c r="AO88" i="13"/>
  <c r="AO104" i="13"/>
  <c r="AO9" i="13"/>
  <c r="AO25" i="13"/>
  <c r="AO41" i="13"/>
  <c r="AO57" i="13"/>
  <c r="AO73" i="13"/>
  <c r="AO89" i="13"/>
  <c r="AO105" i="13"/>
  <c r="AO10" i="13"/>
  <c r="AO26" i="13"/>
  <c r="AO42" i="13"/>
  <c r="AO58" i="13"/>
  <c r="AO74" i="13"/>
  <c r="AO90" i="13"/>
  <c r="AO106" i="13"/>
  <c r="AO11" i="13"/>
  <c r="AO27" i="13"/>
  <c r="AO43" i="13"/>
  <c r="AO59" i="13"/>
  <c r="AO75" i="13"/>
  <c r="AO91" i="13"/>
  <c r="AO12" i="13"/>
  <c r="AO28" i="13"/>
  <c r="AO44" i="13"/>
  <c r="AO60" i="13"/>
  <c r="AO76" i="13"/>
  <c r="AO92" i="13"/>
  <c r="AO13" i="13"/>
  <c r="AO29" i="13"/>
  <c r="AO45" i="13"/>
  <c r="AO61" i="13"/>
  <c r="AO77" i="13"/>
  <c r="AO93" i="13"/>
  <c r="AO46" i="13"/>
  <c r="AO62" i="13"/>
  <c r="AO78" i="13"/>
  <c r="AO94" i="13"/>
  <c r="AO15" i="13"/>
  <c r="AO47" i="13"/>
  <c r="AO63" i="13"/>
  <c r="AO79" i="13"/>
  <c r="AO96" i="13"/>
  <c r="AO49" i="13"/>
  <c r="AO97" i="13"/>
  <c r="AO82" i="13"/>
  <c r="AO19" i="13"/>
  <c r="AO99" i="13"/>
  <c r="AO68" i="13"/>
  <c r="AO53" i="13"/>
  <c r="AO22" i="13"/>
  <c r="AO102" i="13"/>
  <c r="AO55" i="13"/>
  <c r="AO14" i="13"/>
  <c r="AO95" i="13"/>
  <c r="AO17" i="13"/>
  <c r="AO50" i="13"/>
  <c r="AO98" i="13"/>
  <c r="AO67" i="13"/>
  <c r="AO100" i="13"/>
  <c r="AO85" i="13"/>
  <c r="AO70" i="13"/>
  <c r="AO39" i="13"/>
  <c r="AO31" i="13"/>
  <c r="AO103" i="13"/>
  <c r="AO18" i="13"/>
  <c r="AO30" i="13"/>
  <c r="AO48" i="13"/>
  <c r="AO33" i="13"/>
  <c r="AO34" i="13"/>
  <c r="AO51" i="13"/>
  <c r="AO52" i="13"/>
  <c r="AO37" i="13"/>
  <c r="AO54" i="13"/>
  <c r="AO71" i="13"/>
  <c r="AO64" i="13"/>
  <c r="AO83" i="13"/>
  <c r="AO84" i="13"/>
  <c r="AO69" i="13"/>
  <c r="AO38" i="13"/>
  <c r="AO87" i="13"/>
  <c r="AO20" i="13"/>
  <c r="AO16" i="13"/>
  <c r="AO32" i="13"/>
  <c r="AO80" i="13"/>
  <c r="AO65" i="13"/>
  <c r="AO81" i="13"/>
  <c r="AO66" i="13"/>
  <c r="AO35" i="13"/>
  <c r="AO36" i="13"/>
  <c r="AO21" i="13"/>
  <c r="AO101" i="13"/>
  <c r="AO86" i="13"/>
  <c r="AO23" i="13"/>
  <c r="AO7" i="13"/>
  <c r="AE8" i="13"/>
  <c r="AE24" i="13"/>
  <c r="AE40" i="13"/>
  <c r="AE56" i="13"/>
  <c r="AE72" i="13"/>
  <c r="AE88" i="13"/>
  <c r="AE104" i="13"/>
  <c r="AE9" i="13"/>
  <c r="AE25" i="13"/>
  <c r="AE41" i="13"/>
  <c r="AE57" i="13"/>
  <c r="AE73" i="13"/>
  <c r="AE89" i="13"/>
  <c r="AE105" i="13"/>
  <c r="AE10" i="13"/>
  <c r="AE26" i="13"/>
  <c r="AE42" i="13"/>
  <c r="AE58" i="13"/>
  <c r="AE74" i="13"/>
  <c r="AE90" i="13"/>
  <c r="AE106" i="13"/>
  <c r="AE76" i="13"/>
  <c r="AE82" i="13"/>
  <c r="AE99" i="13"/>
  <c r="AE52" i="13"/>
  <c r="AE85" i="13"/>
  <c r="AE38" i="13"/>
  <c r="AE34" i="13"/>
  <c r="AE69" i="13"/>
  <c r="AE54" i="13"/>
  <c r="AE55" i="13"/>
  <c r="AE11" i="13"/>
  <c r="AE27" i="13"/>
  <c r="AE43" i="13"/>
  <c r="AE59" i="13"/>
  <c r="AE75" i="13"/>
  <c r="AE91" i="13"/>
  <c r="AE98" i="13"/>
  <c r="AE51" i="13"/>
  <c r="AE20" i="13"/>
  <c r="AE22" i="13"/>
  <c r="AE103" i="13"/>
  <c r="AE12" i="13"/>
  <c r="AE28" i="13"/>
  <c r="AE44" i="13"/>
  <c r="AE60" i="13"/>
  <c r="AE92" i="13"/>
  <c r="AE19" i="13"/>
  <c r="AE36" i="13"/>
  <c r="AE100" i="13"/>
  <c r="AE23" i="13"/>
  <c r="AE13" i="13"/>
  <c r="AE29" i="13"/>
  <c r="AE45" i="13"/>
  <c r="AE61" i="13"/>
  <c r="AE77" i="13"/>
  <c r="AE93" i="13"/>
  <c r="AE30" i="13"/>
  <c r="AE46" i="13"/>
  <c r="AE62" i="13"/>
  <c r="AE94" i="13"/>
  <c r="AE15" i="13"/>
  <c r="AE47" i="13"/>
  <c r="AE79" i="13"/>
  <c r="AE16" i="13"/>
  <c r="AE48" i="13"/>
  <c r="AE80" i="13"/>
  <c r="AE96" i="13"/>
  <c r="AE33" i="13"/>
  <c r="AE65" i="13"/>
  <c r="AE97" i="13"/>
  <c r="AE66" i="13"/>
  <c r="AE35" i="13"/>
  <c r="AE68" i="13"/>
  <c r="AE37" i="13"/>
  <c r="AE102" i="13"/>
  <c r="AE14" i="13"/>
  <c r="AE78" i="13"/>
  <c r="AE31" i="13"/>
  <c r="AE63" i="13"/>
  <c r="AE95" i="13"/>
  <c r="AE32" i="13"/>
  <c r="AE64" i="13"/>
  <c r="AE17" i="13"/>
  <c r="AE49" i="13"/>
  <c r="AE81" i="13"/>
  <c r="AE50" i="13"/>
  <c r="AE67" i="13"/>
  <c r="AE84" i="13"/>
  <c r="AE101" i="13"/>
  <c r="AE39" i="13"/>
  <c r="AE83" i="13"/>
  <c r="AE53" i="13"/>
  <c r="AE70" i="13"/>
  <c r="AE71" i="13"/>
  <c r="AE18" i="13"/>
  <c r="AE21" i="13"/>
  <c r="AE86" i="13"/>
  <c r="AE87" i="13"/>
  <c r="AE7" i="13"/>
  <c r="U8" i="13"/>
  <c r="U24" i="13"/>
  <c r="U40" i="13"/>
  <c r="U56" i="13"/>
  <c r="U72" i="13"/>
  <c r="U88" i="13"/>
  <c r="U104" i="13"/>
  <c r="U10" i="13"/>
  <c r="U42" i="13"/>
  <c r="U74" i="13"/>
  <c r="U90" i="13"/>
  <c r="U11" i="13"/>
  <c r="U43" i="13"/>
  <c r="U59" i="13"/>
  <c r="U91" i="13"/>
  <c r="U28" i="13"/>
  <c r="U44" i="13"/>
  <c r="U76" i="13"/>
  <c r="U13" i="13"/>
  <c r="U45" i="13"/>
  <c r="U77" i="13"/>
  <c r="U14" i="13"/>
  <c r="U46" i="13"/>
  <c r="U78" i="13"/>
  <c r="U31" i="13"/>
  <c r="U63" i="13"/>
  <c r="U95" i="13"/>
  <c r="U32" i="13"/>
  <c r="U64" i="13"/>
  <c r="U17" i="13"/>
  <c r="U49" i="13"/>
  <c r="U97" i="13"/>
  <c r="U50" i="13"/>
  <c r="U82" i="13"/>
  <c r="U19" i="13"/>
  <c r="U67" i="13"/>
  <c r="U52" i="13"/>
  <c r="U21" i="13"/>
  <c r="U22" i="13"/>
  <c r="U23" i="13"/>
  <c r="U9" i="13"/>
  <c r="U25" i="13"/>
  <c r="U41" i="13"/>
  <c r="U57" i="13"/>
  <c r="U73" i="13"/>
  <c r="U89" i="13"/>
  <c r="U105" i="13"/>
  <c r="U26" i="13"/>
  <c r="U58" i="13"/>
  <c r="U106" i="13"/>
  <c r="U27" i="13"/>
  <c r="U75" i="13"/>
  <c r="U12" i="13"/>
  <c r="U60" i="13"/>
  <c r="U92" i="13"/>
  <c r="U29" i="13"/>
  <c r="U61" i="13"/>
  <c r="U93" i="13"/>
  <c r="U30" i="13"/>
  <c r="U62" i="13"/>
  <c r="U94" i="13"/>
  <c r="U15" i="13"/>
  <c r="U47" i="13"/>
  <c r="U79" i="13"/>
  <c r="U16" i="13"/>
  <c r="U48" i="13"/>
  <c r="U33" i="13"/>
  <c r="U81" i="13"/>
  <c r="U18" i="13"/>
  <c r="U66" i="13"/>
  <c r="U98" i="13"/>
  <c r="U51" i="13"/>
  <c r="U99" i="13"/>
  <c r="U68" i="13"/>
  <c r="U37" i="13"/>
  <c r="U101" i="13"/>
  <c r="U86" i="13"/>
  <c r="U71" i="13"/>
  <c r="U96" i="13"/>
  <c r="U38" i="13"/>
  <c r="U103" i="13"/>
  <c r="U80" i="13"/>
  <c r="U54" i="13"/>
  <c r="U87" i="13"/>
  <c r="U20" i="13"/>
  <c r="U65" i="13"/>
  <c r="U36" i="13"/>
  <c r="U53" i="13"/>
  <c r="U102" i="13"/>
  <c r="U85" i="13"/>
  <c r="U34" i="13"/>
  <c r="U35" i="13"/>
  <c r="U83" i="13"/>
  <c r="U84" i="13"/>
  <c r="U100" i="13"/>
  <c r="U69" i="13"/>
  <c r="U70" i="13"/>
  <c r="U55" i="13"/>
  <c r="U39" i="13"/>
  <c r="U7" i="13"/>
  <c r="G24" i="13"/>
  <c r="H24" i="13"/>
  <c r="F24" i="13"/>
  <c r="E24" i="13"/>
  <c r="E13" i="13"/>
  <c r="A7" i="13"/>
  <c r="F37" i="12" l="1"/>
  <c r="E36" i="12"/>
  <c r="D28" i="12"/>
  <c r="D18" i="12"/>
  <c r="D8" i="12"/>
  <c r="E8" i="12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36" i="10"/>
  <c r="J37" i="10"/>
  <c r="J38" i="10"/>
  <c r="J39" i="10"/>
  <c r="J40" i="10"/>
  <c r="J41" i="10"/>
  <c r="J42" i="10"/>
  <c r="J43" i="10"/>
  <c r="J44" i="10"/>
  <c r="J45" i="10"/>
  <c r="J46" i="10"/>
  <c r="J47" i="10"/>
  <c r="J48" i="10"/>
  <c r="J49" i="10"/>
  <c r="J50" i="10"/>
  <c r="J51" i="10"/>
  <c r="J52" i="10"/>
  <c r="J53" i="10"/>
  <c r="J54" i="10"/>
  <c r="J55" i="10"/>
  <c r="J56" i="10"/>
  <c r="J57" i="10"/>
  <c r="J58" i="10"/>
  <c r="J59" i="10"/>
  <c r="J60" i="10"/>
  <c r="J61" i="10"/>
  <c r="J62" i="10"/>
  <c r="J63" i="10"/>
  <c r="J64" i="10"/>
  <c r="J65" i="10"/>
  <c r="J66" i="10"/>
  <c r="J67" i="10"/>
  <c r="J68" i="10"/>
  <c r="J69" i="10"/>
  <c r="J70" i="10"/>
  <c r="J71" i="10"/>
  <c r="J72" i="10"/>
  <c r="J73" i="10"/>
  <c r="J74" i="10"/>
  <c r="J75" i="10"/>
  <c r="J76" i="10"/>
  <c r="J77" i="10"/>
  <c r="J78" i="10"/>
  <c r="J79" i="10"/>
  <c r="J80" i="10"/>
  <c r="J81" i="10"/>
  <c r="J82" i="10"/>
  <c r="J83" i="10"/>
  <c r="J84" i="10"/>
  <c r="J85" i="10"/>
  <c r="J86" i="10"/>
  <c r="J87" i="10"/>
  <c r="J88" i="10"/>
  <c r="J89" i="10"/>
  <c r="J90" i="10"/>
  <c r="J91" i="10"/>
  <c r="J92" i="10"/>
  <c r="J93" i="10"/>
  <c r="J94" i="10"/>
  <c r="J95" i="10"/>
  <c r="J96" i="10"/>
  <c r="J97" i="10"/>
  <c r="J98" i="10"/>
  <c r="J99" i="10"/>
  <c r="J100" i="10"/>
  <c r="J101" i="10"/>
  <c r="J102" i="10"/>
  <c r="J103" i="10"/>
  <c r="J104" i="10"/>
  <c r="J105" i="10"/>
  <c r="J106" i="10"/>
  <c r="J107" i="10"/>
  <c r="J108" i="10"/>
  <c r="J109" i="10"/>
  <c r="J110" i="10"/>
  <c r="J111" i="10"/>
  <c r="J112" i="10"/>
  <c r="J113" i="10"/>
  <c r="J114" i="10"/>
  <c r="J115" i="10"/>
  <c r="J116" i="10"/>
  <c r="J117" i="10"/>
  <c r="J118" i="10"/>
  <c r="J119" i="10"/>
  <c r="J120" i="10"/>
  <c r="J121" i="10"/>
  <c r="J122" i="10"/>
  <c r="J123" i="10"/>
  <c r="J124" i="10"/>
  <c r="J125" i="10"/>
  <c r="J126" i="10"/>
  <c r="J127" i="10"/>
  <c r="J128" i="10"/>
  <c r="J129" i="10"/>
  <c r="J130" i="10"/>
  <c r="J131" i="10"/>
  <c r="J132" i="10"/>
  <c r="J133" i="10"/>
  <c r="J134" i="10"/>
  <c r="J135" i="10"/>
  <c r="J136" i="10"/>
  <c r="J137" i="10"/>
  <c r="J138" i="10"/>
  <c r="J139" i="10"/>
  <c r="J140" i="10"/>
  <c r="J141" i="10"/>
  <c r="J142" i="10"/>
  <c r="J143" i="10"/>
  <c r="J144" i="10"/>
  <c r="J145" i="10"/>
  <c r="J146" i="10"/>
  <c r="J147" i="10"/>
  <c r="J148" i="10"/>
  <c r="J149" i="10"/>
  <c r="J150" i="10"/>
  <c r="J151" i="10"/>
  <c r="J152" i="10"/>
  <c r="J153" i="10"/>
  <c r="J154" i="10"/>
  <c r="J155" i="10"/>
  <c r="J156" i="10"/>
  <c r="J157" i="10"/>
  <c r="J158" i="10"/>
  <c r="J159" i="10"/>
  <c r="J160" i="10"/>
  <c r="J161" i="10"/>
  <c r="J162" i="10"/>
  <c r="J163" i="10"/>
  <c r="J164" i="10"/>
  <c r="J165" i="10"/>
  <c r="J166" i="10"/>
  <c r="J167" i="10"/>
  <c r="J168" i="10"/>
  <c r="J169" i="10"/>
  <c r="J170" i="10"/>
  <c r="J171" i="10"/>
  <c r="J172" i="10"/>
  <c r="J173" i="10"/>
  <c r="J174" i="10"/>
  <c r="J175" i="10"/>
  <c r="J176" i="10"/>
  <c r="J177" i="10"/>
  <c r="J178" i="10"/>
  <c r="J179" i="10"/>
  <c r="J180" i="10"/>
  <c r="J181" i="10"/>
  <c r="J182" i="10"/>
  <c r="J183" i="10"/>
  <c r="J184" i="10"/>
  <c r="J185" i="10"/>
  <c r="J186" i="10"/>
  <c r="J187" i="10"/>
  <c r="J188" i="10"/>
  <c r="J189" i="10"/>
  <c r="J190" i="10"/>
  <c r="J191" i="10"/>
  <c r="J192" i="10"/>
  <c r="J193" i="10"/>
  <c r="J194" i="10"/>
  <c r="J195" i="10"/>
  <c r="J196" i="10"/>
  <c r="J197" i="10"/>
  <c r="J198" i="10"/>
  <c r="J199" i="10"/>
  <c r="J200" i="10"/>
  <c r="J201" i="10"/>
  <c r="J202" i="10"/>
  <c r="J203" i="10"/>
  <c r="J204" i="10"/>
  <c r="J205" i="10"/>
  <c r="J206" i="10"/>
  <c r="J207" i="10"/>
  <c r="J208" i="10"/>
  <c r="J209" i="10"/>
  <c r="J210" i="10"/>
  <c r="J211" i="10"/>
  <c r="J212" i="10"/>
  <c r="J213" i="10"/>
  <c r="J214" i="10"/>
  <c r="J215" i="10"/>
  <c r="J216" i="10"/>
  <c r="J217" i="10"/>
  <c r="J218" i="10"/>
  <c r="J219" i="10"/>
  <c r="J220" i="10"/>
  <c r="J221" i="10"/>
  <c r="J222" i="10"/>
  <c r="J223" i="10"/>
  <c r="J224" i="10"/>
  <c r="J225" i="10"/>
  <c r="J226" i="10"/>
  <c r="J227" i="10"/>
  <c r="J228" i="10"/>
  <c r="J229" i="10"/>
  <c r="J230" i="10"/>
  <c r="J231" i="10"/>
  <c r="J232" i="10"/>
  <c r="J233" i="10"/>
  <c r="J234" i="10"/>
  <c r="J235" i="10"/>
  <c r="J236" i="10"/>
  <c r="J237" i="10"/>
  <c r="J238" i="10"/>
  <c r="J239" i="10"/>
  <c r="J240" i="10"/>
  <c r="J241" i="10"/>
  <c r="J242" i="10"/>
  <c r="J243" i="10"/>
  <c r="J244" i="10"/>
  <c r="J245" i="10"/>
  <c r="J246" i="10"/>
  <c r="J247" i="10"/>
  <c r="J248" i="10"/>
  <c r="J249" i="10"/>
  <c r="J250" i="10"/>
  <c r="J251" i="10"/>
  <c r="J252" i="10"/>
  <c r="J253" i="10"/>
  <c r="J254" i="10"/>
  <c r="J255" i="10"/>
  <c r="J256" i="10"/>
  <c r="J257" i="10"/>
  <c r="J258" i="10"/>
  <c r="J259" i="10"/>
  <c r="J260" i="10"/>
  <c r="J261" i="10"/>
  <c r="J262" i="10"/>
  <c r="J263" i="10"/>
  <c r="J264" i="10"/>
  <c r="J265" i="10"/>
  <c r="J266" i="10"/>
  <c r="J267" i="10"/>
  <c r="J268" i="10"/>
  <c r="J269" i="10"/>
  <c r="J270" i="10"/>
  <c r="J271" i="10"/>
  <c r="J272" i="10"/>
  <c r="J273" i="10"/>
  <c r="J274" i="10"/>
  <c r="J275" i="10"/>
  <c r="J276" i="10"/>
  <c r="J277" i="10"/>
  <c r="J278" i="10"/>
  <c r="J279" i="10"/>
  <c r="J280" i="10"/>
  <c r="J281" i="10"/>
  <c r="J282" i="10"/>
  <c r="J283" i="10"/>
  <c r="J284" i="10"/>
  <c r="J285" i="10"/>
  <c r="J286" i="10"/>
  <c r="J287" i="10"/>
  <c r="J288" i="10"/>
  <c r="J289" i="10"/>
  <c r="J290" i="10"/>
  <c r="J291" i="10"/>
  <c r="J292" i="10"/>
  <c r="J293" i="10"/>
  <c r="J294" i="10"/>
  <c r="J295" i="10"/>
  <c r="J296" i="10"/>
  <c r="J297" i="10"/>
  <c r="J298" i="10"/>
  <c r="J299" i="10"/>
  <c r="J300" i="10"/>
  <c r="J301" i="10"/>
  <c r="J302" i="10"/>
  <c r="J303" i="10"/>
  <c r="J304" i="10"/>
  <c r="J305" i="10"/>
  <c r="J306" i="10"/>
  <c r="J307" i="10"/>
  <c r="J308" i="10"/>
  <c r="J309" i="10"/>
  <c r="J310" i="10"/>
  <c r="J311" i="10"/>
  <c r="J312" i="10"/>
  <c r="J313" i="10"/>
  <c r="J314" i="10"/>
  <c r="J315" i="10"/>
  <c r="J316" i="10"/>
  <c r="J317" i="10"/>
  <c r="J318" i="10"/>
  <c r="J319" i="10"/>
  <c r="J320" i="10"/>
  <c r="J321" i="10"/>
  <c r="J322" i="10"/>
  <c r="J323" i="10"/>
  <c r="J324" i="10"/>
  <c r="J325" i="10"/>
  <c r="J326" i="10"/>
  <c r="J327" i="10"/>
  <c r="J328" i="10"/>
  <c r="J329" i="10"/>
  <c r="J330" i="10"/>
  <c r="J331" i="10"/>
  <c r="J332" i="10"/>
  <c r="J333" i="10"/>
  <c r="J334" i="10"/>
  <c r="J335" i="10"/>
  <c r="J336" i="10"/>
  <c r="J337" i="10"/>
  <c r="J338" i="10"/>
  <c r="J339" i="10"/>
  <c r="J340" i="10"/>
  <c r="J341" i="10"/>
  <c r="J342" i="10"/>
  <c r="J343" i="10"/>
  <c r="J344" i="10"/>
  <c r="J345" i="10"/>
  <c r="J346" i="10"/>
  <c r="J347" i="10"/>
  <c r="J348" i="10"/>
  <c r="J349" i="10"/>
  <c r="J350" i="10"/>
  <c r="J351" i="10"/>
  <c r="J352" i="10"/>
  <c r="J353" i="10"/>
  <c r="J354" i="10"/>
  <c r="J355" i="10"/>
  <c r="J356" i="10"/>
  <c r="J357" i="10"/>
  <c r="J358" i="10"/>
  <c r="J359" i="10"/>
  <c r="J360" i="10"/>
  <c r="J361" i="10"/>
  <c r="J362" i="10"/>
  <c r="J363" i="10"/>
  <c r="J364" i="10"/>
  <c r="J365" i="10"/>
  <c r="J366" i="10"/>
  <c r="J367" i="10"/>
  <c r="J368" i="10"/>
  <c r="J369" i="10"/>
  <c r="J370" i="10"/>
  <c r="J371" i="10"/>
  <c r="J372" i="10"/>
  <c r="J373" i="10"/>
  <c r="J374" i="10"/>
  <c r="J375" i="10"/>
  <c r="J376" i="10"/>
  <c r="J377" i="10"/>
  <c r="J378" i="10"/>
  <c r="J379" i="10"/>
  <c r="J380" i="10"/>
  <c r="J381" i="10"/>
  <c r="J382" i="10"/>
  <c r="J383" i="10"/>
  <c r="J384" i="10"/>
  <c r="J385" i="10"/>
  <c r="J386" i="10"/>
  <c r="J387" i="10"/>
  <c r="J388" i="10"/>
  <c r="J389" i="10"/>
  <c r="J390" i="10"/>
  <c r="J391" i="10"/>
  <c r="J392" i="10"/>
  <c r="J393" i="10"/>
  <c r="J394" i="10"/>
  <c r="J395" i="10"/>
  <c r="J396" i="10"/>
  <c r="J397" i="10"/>
  <c r="J398" i="10"/>
  <c r="J399" i="10"/>
  <c r="J400" i="10"/>
  <c r="J401" i="10"/>
  <c r="J402" i="10"/>
  <c r="J403" i="10"/>
  <c r="J404" i="10"/>
  <c r="J405" i="10"/>
  <c r="J406" i="10"/>
  <c r="J407" i="10"/>
  <c r="J408" i="10"/>
  <c r="J409" i="10"/>
  <c r="J410" i="10"/>
  <c r="J411" i="10"/>
  <c r="J412" i="10"/>
  <c r="J413" i="10"/>
  <c r="J414" i="10"/>
  <c r="J415" i="10"/>
  <c r="J416" i="10"/>
  <c r="J417" i="10"/>
  <c r="J418" i="10"/>
  <c r="J419" i="10"/>
  <c r="J420" i="10"/>
  <c r="J421" i="10"/>
  <c r="J422" i="10"/>
  <c r="J423" i="10"/>
  <c r="J424" i="10"/>
  <c r="J425" i="10"/>
  <c r="J426" i="10"/>
  <c r="J427" i="10"/>
  <c r="J428" i="10"/>
  <c r="J429" i="10"/>
  <c r="J430" i="10"/>
  <c r="J431" i="10"/>
  <c r="J432" i="10"/>
  <c r="J433" i="10"/>
  <c r="J434" i="10"/>
  <c r="J435" i="10"/>
  <c r="J436" i="10"/>
  <c r="J437" i="10"/>
  <c r="J438" i="10"/>
  <c r="J439" i="10"/>
  <c r="J440" i="10"/>
  <c r="J441" i="10"/>
  <c r="J442" i="10"/>
  <c r="J443" i="10"/>
  <c r="J444" i="10"/>
  <c r="J445" i="10"/>
  <c r="J446" i="10"/>
  <c r="J447" i="10"/>
  <c r="J448" i="10"/>
  <c r="J449" i="10"/>
  <c r="J450" i="10"/>
  <c r="J451" i="10"/>
  <c r="J452" i="10"/>
  <c r="J453" i="10"/>
  <c r="J454" i="10"/>
  <c r="J455" i="10"/>
  <c r="J456" i="10"/>
  <c r="J457" i="10"/>
  <c r="J458" i="10"/>
  <c r="J459" i="10"/>
  <c r="J460" i="10"/>
  <c r="J461" i="10"/>
  <c r="J462" i="10"/>
  <c r="J463" i="10"/>
  <c r="J464" i="10"/>
  <c r="J465" i="10"/>
  <c r="J466" i="10"/>
  <c r="J467" i="10"/>
  <c r="J468" i="10"/>
  <c r="J469" i="10"/>
  <c r="J470" i="10"/>
  <c r="J471" i="10"/>
  <c r="J472" i="10"/>
  <c r="J473" i="10"/>
  <c r="J474" i="10"/>
  <c r="J475" i="10"/>
  <c r="J476" i="10"/>
  <c r="J477" i="10"/>
  <c r="J478" i="10"/>
  <c r="J479" i="10"/>
  <c r="J480" i="10"/>
  <c r="J481" i="10"/>
  <c r="J482" i="10"/>
  <c r="J483" i="10"/>
  <c r="J484" i="10"/>
  <c r="J485" i="10"/>
  <c r="J486" i="10"/>
  <c r="J487" i="10"/>
  <c r="J488" i="10"/>
  <c r="J489" i="10"/>
  <c r="J490" i="10"/>
  <c r="J491" i="10"/>
  <c r="J492" i="10"/>
  <c r="J493" i="10"/>
  <c r="J494" i="10"/>
  <c r="J495" i="10"/>
  <c r="J496" i="10"/>
  <c r="J497" i="10"/>
  <c r="J498" i="10"/>
  <c r="J499" i="10"/>
  <c r="J500" i="10"/>
  <c r="J501" i="10"/>
  <c r="J502" i="10"/>
  <c r="J503" i="10"/>
  <c r="J504" i="10"/>
  <c r="J505" i="10"/>
  <c r="J506" i="10"/>
  <c r="J507" i="10"/>
  <c r="J508" i="10"/>
  <c r="J509" i="10"/>
  <c r="J510" i="10"/>
  <c r="J511" i="10"/>
  <c r="J512" i="10"/>
  <c r="J513" i="10"/>
  <c r="J514" i="10"/>
  <c r="J515" i="10"/>
  <c r="J516" i="10"/>
  <c r="J517" i="10"/>
  <c r="J518" i="10"/>
  <c r="J519" i="10"/>
  <c r="J520" i="10"/>
  <c r="J521" i="10"/>
  <c r="J522" i="10"/>
  <c r="J523" i="10"/>
  <c r="J524" i="10"/>
  <c r="J525" i="10"/>
  <c r="J526" i="10"/>
  <c r="J527" i="10"/>
  <c r="J528" i="10"/>
  <c r="J529" i="10"/>
  <c r="J530" i="10"/>
  <c r="J531" i="10"/>
  <c r="J532" i="10"/>
  <c r="J533" i="10"/>
  <c r="J534" i="10"/>
  <c r="J535" i="10"/>
  <c r="J536" i="10"/>
  <c r="J537" i="10"/>
  <c r="J538" i="10"/>
  <c r="J539" i="10"/>
  <c r="J540" i="10"/>
  <c r="J541" i="10"/>
  <c r="J542" i="10"/>
  <c r="J543" i="10"/>
  <c r="J544" i="10"/>
  <c r="J545" i="10"/>
  <c r="J546" i="10"/>
  <c r="J547" i="10"/>
  <c r="J548" i="10"/>
  <c r="J549" i="10"/>
  <c r="J550" i="10"/>
  <c r="J551" i="10"/>
  <c r="J552" i="10"/>
  <c r="J553" i="10"/>
  <c r="J554" i="10"/>
  <c r="J555" i="10"/>
  <c r="J556" i="10"/>
  <c r="J557" i="10"/>
  <c r="J558" i="10"/>
  <c r="J559" i="10"/>
  <c r="J560" i="10"/>
  <c r="J561" i="10"/>
  <c r="J562" i="10"/>
  <c r="J563" i="10"/>
  <c r="J564" i="10"/>
  <c r="J565" i="10"/>
  <c r="J566" i="10"/>
  <c r="J567" i="10"/>
  <c r="J568" i="10"/>
  <c r="J569" i="10"/>
  <c r="J570" i="10"/>
  <c r="J571" i="10"/>
  <c r="J572" i="10"/>
  <c r="J573" i="10"/>
  <c r="J574" i="10"/>
  <c r="J575" i="10"/>
  <c r="J576" i="10"/>
  <c r="J577" i="10"/>
  <c r="J578" i="10"/>
  <c r="J579" i="10"/>
  <c r="J580" i="10"/>
  <c r="J581" i="10"/>
  <c r="J582" i="10"/>
  <c r="J583" i="10"/>
  <c r="J584" i="10"/>
  <c r="J585" i="10"/>
  <c r="J586" i="10"/>
  <c r="J587" i="10"/>
  <c r="J588" i="10"/>
  <c r="J589" i="10"/>
  <c r="J590" i="10"/>
  <c r="J591" i="10"/>
  <c r="J592" i="10"/>
  <c r="J593" i="10"/>
  <c r="J594" i="10"/>
  <c r="J595" i="10"/>
  <c r="J596" i="10"/>
  <c r="J597" i="10"/>
  <c r="J598" i="10"/>
  <c r="J599" i="10"/>
  <c r="J600" i="10"/>
  <c r="J601" i="10"/>
  <c r="J602" i="10"/>
  <c r="J603" i="10"/>
  <c r="J604" i="10"/>
  <c r="J605" i="10"/>
  <c r="J606" i="10"/>
  <c r="J607" i="10"/>
  <c r="J608" i="10"/>
  <c r="J609" i="10"/>
  <c r="J610" i="10"/>
  <c r="J611" i="10"/>
  <c r="J612" i="10"/>
  <c r="J613" i="10"/>
  <c r="J614" i="10"/>
  <c r="J615" i="10"/>
  <c r="J616" i="10"/>
  <c r="J617" i="10"/>
  <c r="J618" i="10"/>
  <c r="J619" i="10"/>
  <c r="J620" i="10"/>
  <c r="J621" i="10"/>
  <c r="J622" i="10"/>
  <c r="J623" i="10"/>
  <c r="J624" i="10"/>
  <c r="J625" i="10"/>
  <c r="J626" i="10"/>
  <c r="J627" i="10"/>
  <c r="J628" i="10"/>
  <c r="J629" i="10"/>
  <c r="J630" i="10"/>
  <c r="J631" i="10"/>
  <c r="J632" i="10"/>
  <c r="J633" i="10"/>
  <c r="J634" i="10"/>
  <c r="J635" i="10"/>
  <c r="J636" i="10"/>
  <c r="J637" i="10"/>
  <c r="J638" i="10"/>
  <c r="J639" i="10"/>
  <c r="J640" i="10"/>
  <c r="J641" i="10"/>
  <c r="J642" i="10"/>
  <c r="J643" i="10"/>
  <c r="J644" i="10"/>
  <c r="J645" i="10"/>
  <c r="J646" i="10"/>
  <c r="J647" i="10"/>
  <c r="J648" i="10"/>
  <c r="J649" i="10"/>
  <c r="J650" i="10"/>
  <c r="J651" i="10"/>
  <c r="J652" i="10"/>
  <c r="J653" i="10"/>
  <c r="J654" i="10"/>
  <c r="J655" i="10"/>
  <c r="J656" i="10"/>
  <c r="J657" i="10"/>
  <c r="J658" i="10"/>
  <c r="J659" i="10"/>
  <c r="J660" i="10"/>
  <c r="J661" i="10"/>
  <c r="J662" i="10"/>
  <c r="J663" i="10"/>
  <c r="J664" i="10"/>
  <c r="J665" i="10"/>
  <c r="J666" i="10"/>
  <c r="J667" i="10"/>
  <c r="J668" i="10"/>
  <c r="J669" i="10"/>
  <c r="J670" i="10"/>
  <c r="J671" i="10"/>
  <c r="J672" i="10"/>
  <c r="J673" i="10"/>
  <c r="J674" i="10"/>
  <c r="J675" i="10"/>
  <c r="J676" i="10"/>
  <c r="J677" i="10"/>
  <c r="J678" i="10"/>
  <c r="J679" i="10"/>
  <c r="J680" i="10"/>
  <c r="J681" i="10"/>
  <c r="J682" i="10"/>
  <c r="J683" i="10"/>
  <c r="J684" i="10"/>
  <c r="J685" i="10"/>
  <c r="J686" i="10"/>
  <c r="J687" i="10"/>
  <c r="J688" i="10"/>
  <c r="J689" i="10"/>
  <c r="J690" i="10"/>
  <c r="J691" i="10"/>
  <c r="J692" i="10"/>
  <c r="J693" i="10"/>
  <c r="J694" i="10"/>
  <c r="J695" i="10"/>
  <c r="J696" i="10"/>
  <c r="J697" i="10"/>
  <c r="J698" i="10"/>
  <c r="J699" i="10"/>
  <c r="J700" i="10"/>
  <c r="J701" i="10"/>
  <c r="J702" i="10"/>
  <c r="J703" i="10"/>
  <c r="J704" i="10"/>
  <c r="J705" i="10"/>
  <c r="J706" i="10"/>
  <c r="J707" i="10"/>
  <c r="J708" i="10"/>
  <c r="J709" i="10"/>
  <c r="J710" i="10"/>
  <c r="J711" i="10"/>
  <c r="J712" i="10"/>
  <c r="J713" i="10"/>
  <c r="J714" i="10"/>
  <c r="J715" i="10"/>
  <c r="J716" i="10"/>
  <c r="J717" i="10"/>
  <c r="J718" i="10"/>
  <c r="J719" i="10"/>
  <c r="J720" i="10"/>
  <c r="J721" i="10"/>
  <c r="J722" i="10"/>
  <c r="J723" i="10"/>
  <c r="J724" i="10"/>
  <c r="J725" i="10"/>
  <c r="J726" i="10"/>
  <c r="J727" i="10"/>
  <c r="J728" i="10"/>
  <c r="J729" i="10"/>
  <c r="J730" i="10"/>
  <c r="J731" i="10"/>
  <c r="J732" i="10"/>
  <c r="J733" i="10"/>
  <c r="J734" i="10"/>
  <c r="J735" i="10"/>
  <c r="J736" i="10"/>
  <c r="J737" i="10"/>
  <c r="J738" i="10"/>
  <c r="J739" i="10"/>
  <c r="J740" i="10"/>
  <c r="J741" i="10"/>
  <c r="J742" i="10"/>
  <c r="J743" i="10"/>
  <c r="J744" i="10"/>
  <c r="J745" i="10"/>
  <c r="J746" i="10"/>
  <c r="J747" i="10"/>
  <c r="J748" i="10"/>
  <c r="J749" i="10"/>
  <c r="J750" i="10"/>
  <c r="J751" i="10"/>
  <c r="J752" i="10"/>
  <c r="J753" i="10"/>
  <c r="J754" i="10"/>
  <c r="J755" i="10"/>
  <c r="J756" i="10"/>
  <c r="J757" i="10"/>
  <c r="J758" i="10"/>
  <c r="J759" i="10"/>
  <c r="J760" i="10"/>
  <c r="J761" i="10"/>
  <c r="J762" i="10"/>
  <c r="J763" i="10"/>
  <c r="J764" i="10"/>
  <c r="J765" i="10"/>
  <c r="J766" i="10"/>
  <c r="J767" i="10"/>
  <c r="J768" i="10"/>
  <c r="J769" i="10"/>
  <c r="J770" i="10"/>
  <c r="J771" i="10"/>
  <c r="J772" i="10"/>
  <c r="J773" i="10"/>
  <c r="J774" i="10"/>
  <c r="J775" i="10"/>
  <c r="J776" i="10"/>
  <c r="J777" i="10"/>
  <c r="J778" i="10"/>
  <c r="J779" i="10"/>
  <c r="J780" i="10"/>
  <c r="J781" i="10"/>
  <c r="J782" i="10"/>
  <c r="J783" i="10"/>
  <c r="J784" i="10"/>
  <c r="J785" i="10"/>
  <c r="J786" i="10"/>
  <c r="J787" i="10"/>
  <c r="J788" i="10"/>
  <c r="J789" i="10"/>
  <c r="J790" i="10"/>
  <c r="J791" i="10"/>
  <c r="J792" i="10"/>
  <c r="J793" i="10"/>
  <c r="J794" i="10"/>
  <c r="J795" i="10"/>
  <c r="J796" i="10"/>
  <c r="J797" i="10"/>
  <c r="J798" i="10"/>
  <c r="J799" i="10"/>
  <c r="J800" i="10"/>
  <c r="J801" i="10"/>
  <c r="J802" i="10"/>
  <c r="J803" i="10"/>
  <c r="J804" i="10"/>
  <c r="J805" i="10"/>
  <c r="J806" i="10"/>
  <c r="J807" i="10"/>
  <c r="J808" i="10"/>
  <c r="J809" i="10"/>
  <c r="J810" i="10"/>
  <c r="J811" i="10"/>
  <c r="J812" i="10"/>
  <c r="J813" i="10"/>
  <c r="J814" i="10"/>
  <c r="J815" i="10"/>
  <c r="J816" i="10"/>
  <c r="J817" i="10"/>
  <c r="J818" i="10"/>
  <c r="J819" i="10"/>
  <c r="J820" i="10"/>
  <c r="J821" i="10"/>
  <c r="J822" i="10"/>
  <c r="J823" i="10"/>
  <c r="J824" i="10"/>
  <c r="J825" i="10"/>
  <c r="J826" i="10"/>
  <c r="J827" i="10"/>
  <c r="J828" i="10"/>
  <c r="J829" i="10"/>
  <c r="J830" i="10"/>
  <c r="J831" i="10"/>
  <c r="J832" i="10"/>
  <c r="J833" i="10"/>
  <c r="J834" i="10"/>
  <c r="J835" i="10"/>
  <c r="J836" i="10"/>
  <c r="J837" i="10"/>
  <c r="J838" i="10"/>
  <c r="J839" i="10"/>
  <c r="J840" i="10"/>
  <c r="J841" i="10"/>
  <c r="J842" i="10"/>
  <c r="J843" i="10"/>
  <c r="J844" i="10"/>
  <c r="J845" i="10"/>
  <c r="J846" i="10"/>
  <c r="J847" i="10"/>
  <c r="J848" i="10"/>
  <c r="J849" i="10"/>
  <c r="J850" i="10"/>
  <c r="J851" i="10"/>
  <c r="J852" i="10"/>
  <c r="J853" i="10"/>
  <c r="J854" i="10"/>
  <c r="J855" i="10"/>
  <c r="J856" i="10"/>
  <c r="J857" i="10"/>
  <c r="J858" i="10"/>
  <c r="J859" i="10"/>
  <c r="J860" i="10"/>
  <c r="J861" i="10"/>
  <c r="J862" i="10"/>
  <c r="J863" i="10"/>
  <c r="J864" i="10"/>
  <c r="J865" i="10"/>
  <c r="J866" i="10"/>
  <c r="J867" i="10"/>
  <c r="J868" i="10"/>
  <c r="J869" i="10"/>
  <c r="J870" i="10"/>
  <c r="J871" i="10"/>
  <c r="J872" i="10"/>
  <c r="J873" i="10"/>
  <c r="J874" i="10"/>
  <c r="J875" i="10"/>
  <c r="J876" i="10"/>
  <c r="J877" i="10"/>
  <c r="J878" i="10"/>
  <c r="J879" i="10"/>
  <c r="J880" i="10"/>
  <c r="J881" i="10"/>
  <c r="J882" i="10"/>
  <c r="J883" i="10"/>
  <c r="J884" i="10"/>
  <c r="J885" i="10"/>
  <c r="J886" i="10"/>
  <c r="J887" i="10"/>
  <c r="J888" i="10"/>
  <c r="J889" i="10"/>
  <c r="J890" i="10"/>
  <c r="J891" i="10"/>
  <c r="J892" i="10"/>
  <c r="J893" i="10"/>
  <c r="J894" i="10"/>
  <c r="J895" i="10"/>
  <c r="J896" i="10"/>
  <c r="J897" i="10"/>
  <c r="J898" i="10"/>
  <c r="J899" i="10"/>
  <c r="J900" i="10"/>
  <c r="J901" i="10"/>
  <c r="J902" i="10"/>
  <c r="J903" i="10"/>
  <c r="J904" i="10"/>
  <c r="J905" i="10"/>
  <c r="J906" i="10"/>
  <c r="J907" i="10"/>
  <c r="J908" i="10"/>
  <c r="J909" i="10"/>
  <c r="J910" i="10"/>
  <c r="J911" i="10"/>
  <c r="J912" i="10"/>
  <c r="J913" i="10"/>
  <c r="J914" i="10"/>
  <c r="J915" i="10"/>
  <c r="J916" i="10"/>
  <c r="J917" i="10"/>
  <c r="J918" i="10"/>
  <c r="J919" i="10"/>
  <c r="J920" i="10"/>
  <c r="J921" i="10"/>
  <c r="J922" i="10"/>
  <c r="J923" i="10"/>
  <c r="J924" i="10"/>
  <c r="J925" i="10"/>
  <c r="J926" i="10"/>
  <c r="J927" i="10"/>
  <c r="J928" i="10"/>
  <c r="J929" i="10"/>
  <c r="J930" i="10"/>
  <c r="J931" i="10"/>
  <c r="J932" i="10"/>
  <c r="J933" i="10"/>
  <c r="J934" i="10"/>
  <c r="J935" i="10"/>
  <c r="J936" i="10"/>
  <c r="J937" i="10"/>
  <c r="J938" i="10"/>
  <c r="J939" i="10"/>
  <c r="J940" i="10"/>
  <c r="J941" i="10"/>
  <c r="J942" i="10"/>
  <c r="J943" i="10"/>
  <c r="J944" i="10"/>
  <c r="J945" i="10"/>
  <c r="J946" i="10"/>
  <c r="J947" i="10"/>
  <c r="J948" i="10"/>
  <c r="J949" i="10"/>
  <c r="J950" i="10"/>
  <c r="J951" i="10"/>
  <c r="J952" i="10"/>
  <c r="J953" i="10"/>
  <c r="J954" i="10"/>
  <c r="J955" i="10"/>
  <c r="J956" i="10"/>
  <c r="J957" i="10"/>
  <c r="J958" i="10"/>
  <c r="J959" i="10"/>
  <c r="J960" i="10"/>
  <c r="J961" i="10"/>
  <c r="J962" i="10"/>
  <c r="J963" i="10"/>
  <c r="J964" i="10"/>
  <c r="J965" i="10"/>
  <c r="J966" i="10"/>
  <c r="J967" i="10"/>
  <c r="J968" i="10"/>
  <c r="J969" i="10"/>
  <c r="J970" i="10"/>
  <c r="J971" i="10"/>
  <c r="J972" i="10"/>
  <c r="J973" i="10"/>
  <c r="J974" i="10"/>
  <c r="J975" i="10"/>
  <c r="J976" i="10"/>
  <c r="J977" i="10"/>
  <c r="J978" i="10"/>
  <c r="J979" i="10"/>
  <c r="J980" i="10"/>
  <c r="J981" i="10"/>
  <c r="J982" i="10"/>
  <c r="J983" i="10"/>
  <c r="J984" i="10"/>
  <c r="J985" i="10"/>
  <c r="J986" i="10"/>
  <c r="J987" i="10"/>
  <c r="J988" i="10"/>
  <c r="J989" i="10"/>
  <c r="J990" i="10"/>
  <c r="J991" i="10"/>
  <c r="J992" i="10"/>
  <c r="J993" i="10"/>
  <c r="J994" i="10"/>
  <c r="J995" i="10"/>
  <c r="J996" i="10"/>
  <c r="J997" i="10"/>
  <c r="J998" i="10"/>
  <c r="J999" i="10"/>
  <c r="J1000" i="10"/>
  <c r="J1001" i="10"/>
  <c r="J1002" i="10"/>
  <c r="J1003" i="10"/>
  <c r="J1004" i="10"/>
  <c r="J1005" i="10"/>
  <c r="J1006" i="10"/>
  <c r="J6" i="10"/>
  <c r="H830" i="10"/>
  <c r="F38" i="10"/>
  <c r="F51" i="10"/>
  <c r="F155" i="10"/>
  <c r="F156" i="10"/>
  <c r="F158" i="10"/>
  <c r="F159" i="10"/>
  <c r="F206" i="10"/>
  <c r="F225" i="10"/>
  <c r="F226" i="10"/>
  <c r="F305" i="10"/>
  <c r="F306" i="10"/>
  <c r="F307" i="10"/>
  <c r="F308" i="10"/>
  <c r="F309" i="10"/>
  <c r="F326" i="10"/>
  <c r="F327" i="10"/>
  <c r="F328" i="10"/>
  <c r="F360" i="10"/>
  <c r="F363" i="10"/>
  <c r="F372" i="10"/>
  <c r="F373" i="10"/>
  <c r="G373" i="10" s="1"/>
  <c r="F374" i="10"/>
  <c r="F390" i="10"/>
  <c r="F391" i="10"/>
  <c r="F392" i="10"/>
  <c r="F422" i="10"/>
  <c r="F425" i="10"/>
  <c r="F426" i="10"/>
  <c r="F427" i="10"/>
  <c r="F428" i="10"/>
  <c r="F430" i="10"/>
  <c r="F442" i="10"/>
  <c r="F443" i="10"/>
  <c r="F475" i="10"/>
  <c r="F476" i="10"/>
  <c r="F478" i="10"/>
  <c r="F479" i="10"/>
  <c r="F480" i="10"/>
  <c r="F483" i="10"/>
  <c r="F496" i="10"/>
  <c r="G496" i="10" s="1"/>
  <c r="F497" i="10"/>
  <c r="F526" i="10"/>
  <c r="F528" i="10"/>
  <c r="F529" i="10"/>
  <c r="F530" i="10"/>
  <c r="F531" i="10"/>
  <c r="F532" i="10"/>
  <c r="F540" i="10"/>
  <c r="G540" i="10" s="1"/>
  <c r="F547" i="10"/>
  <c r="F563" i="10"/>
  <c r="F575" i="10"/>
  <c r="F576" i="10"/>
  <c r="F579" i="10"/>
  <c r="F580" i="10"/>
  <c r="F581" i="10"/>
  <c r="F582" i="10"/>
  <c r="F583" i="10"/>
  <c r="F606" i="10"/>
  <c r="G606" i="10" s="1"/>
  <c r="F609" i="10"/>
  <c r="F610" i="10"/>
  <c r="F616" i="10"/>
  <c r="F617" i="10"/>
  <c r="F621" i="10"/>
  <c r="F622" i="10"/>
  <c r="F623" i="10"/>
  <c r="F624" i="10"/>
  <c r="F641" i="10"/>
  <c r="F642" i="10"/>
  <c r="F643" i="10"/>
  <c r="F644" i="10"/>
  <c r="F645" i="10"/>
  <c r="F646" i="10"/>
  <c r="F647" i="10"/>
  <c r="F648" i="10"/>
  <c r="F658" i="10"/>
  <c r="F659" i="10"/>
  <c r="F670" i="10"/>
  <c r="F676" i="10"/>
  <c r="G676" i="10" s="1"/>
  <c r="F677" i="10"/>
  <c r="F678" i="10"/>
  <c r="F679" i="10"/>
  <c r="F680" i="10"/>
  <c r="F685" i="10"/>
  <c r="F686" i="10"/>
  <c r="F687" i="10"/>
  <c r="F688" i="10"/>
  <c r="F704" i="10"/>
  <c r="F705" i="10"/>
  <c r="F706" i="10"/>
  <c r="F707" i="10"/>
  <c r="F717" i="10"/>
  <c r="G717" i="10" s="1"/>
  <c r="F718" i="10"/>
  <c r="F719" i="10"/>
  <c r="F720" i="10"/>
  <c r="F721" i="10"/>
  <c r="F722" i="10"/>
  <c r="F738" i="10"/>
  <c r="F739" i="10"/>
  <c r="F741" i="10"/>
  <c r="F742" i="10"/>
  <c r="F743" i="10"/>
  <c r="F744" i="10"/>
  <c r="F745" i="10"/>
  <c r="F749" i="10"/>
  <c r="F756" i="10"/>
  <c r="G756" i="10" s="1"/>
  <c r="F757" i="10"/>
  <c r="F767" i="10"/>
  <c r="F773" i="10"/>
  <c r="G773" i="10" s="1"/>
  <c r="F774" i="10"/>
  <c r="G774" i="10" s="1"/>
  <c r="F775" i="10"/>
  <c r="G775" i="10" s="1"/>
  <c r="F776" i="10"/>
  <c r="F777" i="10"/>
  <c r="F781" i="10"/>
  <c r="F782" i="10"/>
  <c r="F783" i="10"/>
  <c r="F784" i="10"/>
  <c r="F799" i="10"/>
  <c r="F800" i="10"/>
  <c r="F801" i="10"/>
  <c r="F802" i="10"/>
  <c r="F809" i="10"/>
  <c r="G809" i="10" s="1"/>
  <c r="F811" i="10"/>
  <c r="G811" i="10" s="1"/>
  <c r="F813" i="10"/>
  <c r="G813" i="10" s="1"/>
  <c r="F814" i="10"/>
  <c r="F815" i="10"/>
  <c r="F816" i="10"/>
  <c r="F830" i="10"/>
  <c r="G830" i="10" s="1"/>
  <c r="F831" i="10"/>
  <c r="G831" i="10" s="1"/>
  <c r="F832" i="10"/>
  <c r="G832" i="10" s="1"/>
  <c r="F834" i="10"/>
  <c r="F835" i="10"/>
  <c r="F836" i="10"/>
  <c r="F837" i="10"/>
  <c r="F838" i="10"/>
  <c r="F839" i="10"/>
  <c r="F846" i="10"/>
  <c r="F853" i="10"/>
  <c r="F854" i="10"/>
  <c r="G854" i="10" s="1"/>
  <c r="F856" i="10"/>
  <c r="F857" i="10"/>
  <c r="F863" i="10"/>
  <c r="F864" i="10"/>
  <c r="G864" i="10" s="1"/>
  <c r="F865" i="10"/>
  <c r="G865" i="10" s="1"/>
  <c r="F866" i="10"/>
  <c r="G866" i="10" s="1"/>
  <c r="F867" i="10"/>
  <c r="F868" i="10"/>
  <c r="F877" i="10"/>
  <c r="F882" i="10"/>
  <c r="F883" i="10"/>
  <c r="F884" i="10"/>
  <c r="G884" i="10" s="1"/>
  <c r="F885" i="10"/>
  <c r="F886" i="10"/>
  <c r="G886" i="10" s="1"/>
  <c r="F887" i="10"/>
  <c r="F888" i="10"/>
  <c r="G888" i="10" s="1"/>
  <c r="F889" i="10"/>
  <c r="G889" i="10" s="1"/>
  <c r="F891" i="10"/>
  <c r="G891" i="10" s="1"/>
  <c r="F902" i="10"/>
  <c r="F903" i="10"/>
  <c r="F904" i="10"/>
  <c r="F905" i="10"/>
  <c r="G905" i="10" s="1"/>
  <c r="F907" i="10"/>
  <c r="G907" i="10" s="1"/>
  <c r="F909" i="10"/>
  <c r="G909" i="10" s="1"/>
  <c r="F910" i="10"/>
  <c r="G910" i="10" s="1"/>
  <c r="F911" i="10"/>
  <c r="G911" i="10" s="1"/>
  <c r="F912" i="10"/>
  <c r="F913" i="10"/>
  <c r="F925" i="10"/>
  <c r="F926" i="10"/>
  <c r="G926" i="10" s="1"/>
  <c r="F927" i="10"/>
  <c r="G927" i="10" s="1"/>
  <c r="F928" i="10"/>
  <c r="G928" i="10" s="1"/>
  <c r="F929" i="10"/>
  <c r="G929" i="10" s="1"/>
  <c r="F930" i="10"/>
  <c r="F931" i="10"/>
  <c r="F935" i="10"/>
  <c r="F936" i="10"/>
  <c r="F937" i="10"/>
  <c r="F945" i="10"/>
  <c r="G945" i="10" s="1"/>
  <c r="F946" i="10"/>
  <c r="G946" i="10" s="1"/>
  <c r="F947" i="10"/>
  <c r="G947" i="10" s="1"/>
  <c r="F948" i="10"/>
  <c r="F949" i="10"/>
  <c r="F953" i="10"/>
  <c r="F955" i="10"/>
  <c r="F957" i="10"/>
  <c r="F958" i="10"/>
  <c r="F959" i="10"/>
  <c r="G959" i="10" s="1"/>
  <c r="F960" i="10"/>
  <c r="G960" i="10" s="1"/>
  <c r="F967" i="10"/>
  <c r="F969" i="10"/>
  <c r="F973" i="10"/>
  <c r="F974" i="10"/>
  <c r="F975" i="10"/>
  <c r="F976" i="10"/>
  <c r="F977" i="10"/>
  <c r="G977" i="10" s="1"/>
  <c r="F978" i="10"/>
  <c r="G978" i="10" s="1"/>
  <c r="F979" i="10"/>
  <c r="G979" i="10" s="1"/>
  <c r="F980" i="10"/>
  <c r="G980" i="10" s="1"/>
  <c r="F991" i="10"/>
  <c r="F992" i="10"/>
  <c r="F993" i="10"/>
  <c r="F994" i="10"/>
  <c r="F995" i="10"/>
  <c r="G995" i="10" s="1"/>
  <c r="F996" i="10"/>
  <c r="G996" i="10" s="1"/>
  <c r="F997" i="10"/>
  <c r="G997" i="10" s="1"/>
  <c r="F998" i="10"/>
  <c r="F999" i="10"/>
  <c r="G999" i="10" s="1"/>
  <c r="F1000" i="10"/>
  <c r="C7" i="10"/>
  <c r="H884" i="10" l="1"/>
  <c r="F154" i="10"/>
  <c r="F562" i="10"/>
  <c r="F524" i="10"/>
  <c r="F474" i="10"/>
  <c r="F415" i="10"/>
  <c r="F359" i="10"/>
  <c r="F295" i="10"/>
  <c r="F153" i="10"/>
  <c r="G153" i="10" s="1"/>
  <c r="F601" i="10"/>
  <c r="F561" i="10"/>
  <c r="F513" i="10"/>
  <c r="F473" i="10"/>
  <c r="F414" i="10"/>
  <c r="G414" i="10" s="1"/>
  <c r="F358" i="10"/>
  <c r="F294" i="10"/>
  <c r="G294" i="10" s="1"/>
  <c r="F152" i="10"/>
  <c r="F923" i="10"/>
  <c r="G923" i="10" s="1"/>
  <c r="F875" i="10"/>
  <c r="H875" i="10" s="1"/>
  <c r="F852" i="10"/>
  <c r="G852" i="10" s="1"/>
  <c r="F829" i="10"/>
  <c r="F798" i="10"/>
  <c r="F765" i="10"/>
  <c r="F737" i="10"/>
  <c r="F703" i="10"/>
  <c r="F669" i="10"/>
  <c r="F639" i="10"/>
  <c r="F600" i="10"/>
  <c r="F559" i="10"/>
  <c r="G559" i="10" s="1"/>
  <c r="F512" i="10"/>
  <c r="F466" i="10"/>
  <c r="G466" i="10" s="1"/>
  <c r="F412" i="10"/>
  <c r="F357" i="10"/>
  <c r="F276" i="10"/>
  <c r="F123" i="10"/>
  <c r="G123" i="10" s="1"/>
  <c r="F944" i="10"/>
  <c r="G944" i="10" s="1"/>
  <c r="F900" i="10"/>
  <c r="H900" i="10" s="1"/>
  <c r="F873" i="10"/>
  <c r="F851" i="10"/>
  <c r="F821" i="10"/>
  <c r="G821" i="10" s="1"/>
  <c r="F797" i="10"/>
  <c r="F763" i="10"/>
  <c r="F736" i="10"/>
  <c r="F702" i="10"/>
  <c r="F665" i="10"/>
  <c r="F638" i="10"/>
  <c r="F599" i="10"/>
  <c r="F558" i="10"/>
  <c r="G558" i="10" s="1"/>
  <c r="F511" i="10"/>
  <c r="F457" i="10"/>
  <c r="F398" i="10"/>
  <c r="F343" i="10"/>
  <c r="G343" i="10" s="1"/>
  <c r="F241" i="10"/>
  <c r="F85" i="10"/>
  <c r="G925" i="10"/>
  <c r="H925" i="10"/>
  <c r="F901" i="10"/>
  <c r="F984" i="10"/>
  <c r="F899" i="10"/>
  <c r="F820" i="10"/>
  <c r="F761" i="10"/>
  <c r="G761" i="10" s="1"/>
  <c r="F663" i="10"/>
  <c r="F629" i="10"/>
  <c r="F598" i="10"/>
  <c r="F551" i="10"/>
  <c r="F510" i="10"/>
  <c r="F456" i="10"/>
  <c r="F396" i="10"/>
  <c r="G396" i="10" s="1"/>
  <c r="F342" i="10"/>
  <c r="F240" i="10"/>
  <c r="F84" i="10"/>
  <c r="F17" i="10"/>
  <c r="F86" i="10"/>
  <c r="F169" i="10"/>
  <c r="F242" i="10"/>
  <c r="F310" i="10"/>
  <c r="F361" i="10"/>
  <c r="F405" i="10"/>
  <c r="F446" i="10"/>
  <c r="G446" i="10" s="1"/>
  <c r="F481" i="10"/>
  <c r="F527" i="10"/>
  <c r="F560" i="10"/>
  <c r="F597" i="10"/>
  <c r="F625" i="10"/>
  <c r="G625" i="10" s="1"/>
  <c r="F657" i="10"/>
  <c r="F681" i="10"/>
  <c r="F708" i="10"/>
  <c r="F740" i="10"/>
  <c r="H740" i="10" s="1"/>
  <c r="F766" i="10"/>
  <c r="F795" i="10"/>
  <c r="F87" i="10"/>
  <c r="F188" i="10"/>
  <c r="F260" i="10"/>
  <c r="F325" i="10"/>
  <c r="F362" i="10"/>
  <c r="F406" i="10"/>
  <c r="F447" i="10"/>
  <c r="F482" i="10"/>
  <c r="F107" i="10"/>
  <c r="F190" i="10"/>
  <c r="F261" i="10"/>
  <c r="F118" i="10"/>
  <c r="F191" i="10"/>
  <c r="G191" i="10" s="1"/>
  <c r="F271" i="10"/>
  <c r="F34" i="10"/>
  <c r="F119" i="10"/>
  <c r="F192" i="10"/>
  <c r="F272" i="10"/>
  <c r="F35" i="10"/>
  <c r="F120" i="10"/>
  <c r="F193" i="10"/>
  <c r="F273" i="10"/>
  <c r="F36" i="10"/>
  <c r="F121" i="10"/>
  <c r="F203" i="10"/>
  <c r="F274" i="10"/>
  <c r="F338" i="10"/>
  <c r="F375" i="10"/>
  <c r="F423" i="10"/>
  <c r="G423" i="10" s="1"/>
  <c r="F458" i="10"/>
  <c r="F499" i="10"/>
  <c r="F533" i="10"/>
  <c r="H533" i="10" s="1"/>
  <c r="F577" i="10"/>
  <c r="F607" i="10"/>
  <c r="G607" i="10" s="1"/>
  <c r="F37" i="10"/>
  <c r="F122" i="10"/>
  <c r="F204" i="10"/>
  <c r="G204" i="10" s="1"/>
  <c r="F275" i="10"/>
  <c r="F339" i="10"/>
  <c r="F389" i="10"/>
  <c r="F424" i="10"/>
  <c r="F459" i="10"/>
  <c r="F500" i="10"/>
  <c r="F534" i="10"/>
  <c r="F578" i="10"/>
  <c r="F608" i="10"/>
  <c r="G608" i="10" s="1"/>
  <c r="F640" i="10"/>
  <c r="F664" i="10"/>
  <c r="F696" i="10"/>
  <c r="F723" i="10"/>
  <c r="F755" i="10"/>
  <c r="F779" i="10"/>
  <c r="F803" i="10"/>
  <c r="H803" i="10" s="1"/>
  <c r="F833" i="10"/>
  <c r="F855" i="10"/>
  <c r="F881" i="10"/>
  <c r="F50" i="10"/>
  <c r="F921" i="10"/>
  <c r="F964" i="10"/>
  <c r="G964" i="10" s="1"/>
  <c r="F697" i="10"/>
  <c r="F239" i="10"/>
  <c r="F989" i="10"/>
  <c r="F985" i="10"/>
  <c r="G985" i="10" s="1"/>
  <c r="F6" i="10"/>
  <c r="H6" i="10" s="1"/>
  <c r="K6" i="10" s="1"/>
  <c r="F943" i="10"/>
  <c r="G943" i="10" s="1"/>
  <c r="F872" i="10"/>
  <c r="G872" i="10" s="1"/>
  <c r="F850" i="10"/>
  <c r="H850" i="10" s="1"/>
  <c r="F727" i="10"/>
  <c r="F1005" i="10"/>
  <c r="F983" i="10"/>
  <c r="G983" i="10" s="1"/>
  <c r="F942" i="10"/>
  <c r="G942" i="10" s="1"/>
  <c r="F919" i="10"/>
  <c r="F895" i="10"/>
  <c r="F819" i="10"/>
  <c r="F760" i="10"/>
  <c r="F596" i="10"/>
  <c r="F395" i="10"/>
  <c r="G395" i="10" s="1"/>
  <c r="F1003" i="10"/>
  <c r="F941" i="10"/>
  <c r="G941" i="10" s="1"/>
  <c r="F894" i="10"/>
  <c r="F848" i="10"/>
  <c r="G848" i="10" s="1"/>
  <c r="F791" i="10"/>
  <c r="G791" i="10" s="1"/>
  <c r="F725" i="10"/>
  <c r="F661" i="10"/>
  <c r="F627" i="10"/>
  <c r="F585" i="10"/>
  <c r="G585" i="10" s="1"/>
  <c r="F549" i="10"/>
  <c r="F507" i="10"/>
  <c r="F448" i="10"/>
  <c r="F394" i="10"/>
  <c r="G394" i="10" s="1"/>
  <c r="F340" i="10"/>
  <c r="F238" i="10"/>
  <c r="F72" i="10"/>
  <c r="G72" i="10" s="1"/>
  <c r="F966" i="10"/>
  <c r="F965" i="10"/>
  <c r="G965" i="10" s="1"/>
  <c r="F920" i="10"/>
  <c r="F793" i="10"/>
  <c r="G793" i="10" s="1"/>
  <c r="F701" i="10"/>
  <c r="G701" i="10" s="1"/>
  <c r="F963" i="10"/>
  <c r="F871" i="10"/>
  <c r="G871" i="10" s="1"/>
  <c r="F849" i="10"/>
  <c r="G849" i="10" s="1"/>
  <c r="F792" i="10"/>
  <c r="G792" i="10" s="1"/>
  <c r="F726" i="10"/>
  <c r="F662" i="10"/>
  <c r="F628" i="10"/>
  <c r="G628" i="10" s="1"/>
  <c r="F550" i="10"/>
  <c r="F508" i="10"/>
  <c r="F449" i="10"/>
  <c r="F341" i="10"/>
  <c r="F73" i="10"/>
  <c r="G73" i="10" s="1"/>
  <c r="F982" i="10"/>
  <c r="F962" i="10"/>
  <c r="F918" i="10"/>
  <c r="F870" i="10"/>
  <c r="H870" i="10" s="1"/>
  <c r="F818" i="10"/>
  <c r="F759" i="10"/>
  <c r="F695" i="10"/>
  <c r="G695" i="10" s="1"/>
  <c r="F1001" i="10"/>
  <c r="G1001" i="10" s="1"/>
  <c r="F981" i="10"/>
  <c r="G981" i="10" s="1"/>
  <c r="F961" i="10"/>
  <c r="G961" i="10" s="1"/>
  <c r="F939" i="10"/>
  <c r="F917" i="10"/>
  <c r="F893" i="10"/>
  <c r="F869" i="10"/>
  <c r="G869" i="10" s="1"/>
  <c r="F847" i="10"/>
  <c r="G847" i="10" s="1"/>
  <c r="F817" i="10"/>
  <c r="G817" i="10" s="1"/>
  <c r="F785" i="10"/>
  <c r="F758" i="10"/>
  <c r="F724" i="10"/>
  <c r="G724" i="10" s="1"/>
  <c r="F689" i="10"/>
  <c r="G689" i="10" s="1"/>
  <c r="F660" i="10"/>
  <c r="F626" i="10"/>
  <c r="G626" i="10" s="1"/>
  <c r="F584" i="10"/>
  <c r="G584" i="10" s="1"/>
  <c r="F548" i="10"/>
  <c r="F498" i="10"/>
  <c r="F444" i="10"/>
  <c r="G444" i="10" s="1"/>
  <c r="F393" i="10"/>
  <c r="F329" i="10"/>
  <c r="F227" i="10"/>
  <c r="F71" i="10"/>
  <c r="H17" i="10"/>
  <c r="G17" i="10"/>
  <c r="G398" i="10"/>
  <c r="H398" i="10"/>
  <c r="G341" i="10"/>
  <c r="H341" i="10"/>
  <c r="G308" i="10"/>
  <c r="H308" i="10"/>
  <c r="H274" i="10"/>
  <c r="G274" i="10"/>
  <c r="H240" i="10"/>
  <c r="G240" i="10"/>
  <c r="G203" i="10"/>
  <c r="H203" i="10"/>
  <c r="G158" i="10"/>
  <c r="H158" i="10"/>
  <c r="G121" i="10"/>
  <c r="H121" i="10"/>
  <c r="G85" i="10"/>
  <c r="H85" i="10"/>
  <c r="H38" i="10"/>
  <c r="G38" i="10"/>
  <c r="H1001" i="10"/>
  <c r="H961" i="10"/>
  <c r="H923" i="10"/>
  <c r="H872" i="10"/>
  <c r="H756" i="10"/>
  <c r="H343" i="10"/>
  <c r="K803" i="10"/>
  <c r="G610" i="10"/>
  <c r="H610" i="10"/>
  <c r="G375" i="10"/>
  <c r="H375" i="10"/>
  <c r="G856" i="10"/>
  <c r="H856" i="10"/>
  <c r="H784" i="10"/>
  <c r="G784" i="10"/>
  <c r="G609" i="10"/>
  <c r="H609" i="10"/>
  <c r="G428" i="10"/>
  <c r="H428" i="10"/>
  <c r="H241" i="10"/>
  <c r="G241" i="10"/>
  <c r="H819" i="10"/>
  <c r="G819" i="10"/>
  <c r="G706" i="10"/>
  <c r="H706" i="10"/>
  <c r="H982" i="10"/>
  <c r="G982" i="10"/>
  <c r="H782" i="10"/>
  <c r="G782" i="10"/>
  <c r="G763" i="10"/>
  <c r="H763" i="10"/>
  <c r="G743" i="10"/>
  <c r="H743" i="10"/>
  <c r="G705" i="10"/>
  <c r="H705" i="10"/>
  <c r="G686" i="10"/>
  <c r="H686" i="10"/>
  <c r="G664" i="10"/>
  <c r="H664" i="10"/>
  <c r="G645" i="10"/>
  <c r="H645" i="10"/>
  <c r="G582" i="10"/>
  <c r="H582" i="10"/>
  <c r="H560" i="10"/>
  <c r="G560" i="10"/>
  <c r="G532" i="10"/>
  <c r="H532" i="10"/>
  <c r="G510" i="10"/>
  <c r="H510" i="10"/>
  <c r="G480" i="10"/>
  <c r="H480" i="10"/>
  <c r="G456" i="10"/>
  <c r="H456" i="10"/>
  <c r="G426" i="10"/>
  <c r="H426" i="10"/>
  <c r="G372" i="10"/>
  <c r="H372" i="10"/>
  <c r="G340" i="10"/>
  <c r="H340" i="10"/>
  <c r="H307" i="10"/>
  <c r="G307" i="10"/>
  <c r="H273" i="10"/>
  <c r="G273" i="10"/>
  <c r="G239" i="10"/>
  <c r="H239" i="10"/>
  <c r="H193" i="10"/>
  <c r="G193" i="10"/>
  <c r="G156" i="10"/>
  <c r="H156" i="10"/>
  <c r="H120" i="10"/>
  <c r="G120" i="10"/>
  <c r="G84" i="10"/>
  <c r="H84" i="10"/>
  <c r="G37" i="10"/>
  <c r="H37" i="10"/>
  <c r="H999" i="10"/>
  <c r="H960" i="10"/>
  <c r="H911" i="10"/>
  <c r="H813" i="10"/>
  <c r="H626" i="10"/>
  <c r="G967" i="10"/>
  <c r="H967" i="10"/>
  <c r="H310" i="10"/>
  <c r="G310" i="10"/>
  <c r="G948" i="10"/>
  <c r="H948" i="10"/>
  <c r="H707" i="10"/>
  <c r="G707" i="10"/>
  <c r="G405" i="10"/>
  <c r="H405" i="10"/>
  <c r="G159" i="10"/>
  <c r="H159" i="10"/>
  <c r="G725" i="10"/>
  <c r="H725" i="10"/>
  <c r="G687" i="10"/>
  <c r="H687" i="10"/>
  <c r="G742" i="10"/>
  <c r="H742" i="10"/>
  <c r="H723" i="10"/>
  <c r="G723" i="10"/>
  <c r="G704" i="10"/>
  <c r="H704" i="10"/>
  <c r="G685" i="10"/>
  <c r="H685" i="10"/>
  <c r="G663" i="10"/>
  <c r="H663" i="10"/>
  <c r="G644" i="10"/>
  <c r="H644" i="10"/>
  <c r="G581" i="10"/>
  <c r="H581" i="10"/>
  <c r="H531" i="10"/>
  <c r="G531" i="10"/>
  <c r="G508" i="10"/>
  <c r="H508" i="10"/>
  <c r="G479" i="10"/>
  <c r="H479" i="10"/>
  <c r="G449" i="10"/>
  <c r="H449" i="10"/>
  <c r="G425" i="10"/>
  <c r="H425" i="10"/>
  <c r="G363" i="10"/>
  <c r="H363" i="10"/>
  <c r="H339" i="10"/>
  <c r="G339" i="10"/>
  <c r="G306" i="10"/>
  <c r="H306" i="10"/>
  <c r="G272" i="10"/>
  <c r="H272" i="10"/>
  <c r="G238" i="10"/>
  <c r="H238" i="10"/>
  <c r="G192" i="10"/>
  <c r="H192" i="10"/>
  <c r="H155" i="10"/>
  <c r="G155" i="10"/>
  <c r="G119" i="10"/>
  <c r="H119" i="10"/>
  <c r="H73" i="10"/>
  <c r="G36" i="10"/>
  <c r="H36" i="10"/>
  <c r="H997" i="10"/>
  <c r="H959" i="10"/>
  <c r="H910" i="10"/>
  <c r="H869" i="10"/>
  <c r="H608" i="10"/>
  <c r="G857" i="10"/>
  <c r="H857" i="10"/>
  <c r="H206" i="10"/>
  <c r="G206" i="10"/>
  <c r="G766" i="10"/>
  <c r="H766" i="10"/>
  <c r="G458" i="10"/>
  <c r="H458" i="10"/>
  <c r="G50" i="10"/>
  <c r="H50" i="10"/>
  <c r="G744" i="10"/>
  <c r="H744" i="10"/>
  <c r="H457" i="10"/>
  <c r="G457" i="10"/>
  <c r="G741" i="10"/>
  <c r="H741" i="10"/>
  <c r="G662" i="10"/>
  <c r="H662" i="10"/>
  <c r="H643" i="10"/>
  <c r="G643" i="10"/>
  <c r="G624" i="10"/>
  <c r="H624" i="10"/>
  <c r="G601" i="10"/>
  <c r="H601" i="10"/>
  <c r="G580" i="10"/>
  <c r="H580" i="10"/>
  <c r="G530" i="10"/>
  <c r="H530" i="10"/>
  <c r="G507" i="10"/>
  <c r="H507" i="10"/>
  <c r="G478" i="10"/>
  <c r="H478" i="10"/>
  <c r="G448" i="10"/>
  <c r="H448" i="10"/>
  <c r="G424" i="10"/>
  <c r="H424" i="10"/>
  <c r="G362" i="10"/>
  <c r="H362" i="10"/>
  <c r="G338" i="10"/>
  <c r="H338" i="10"/>
  <c r="G305" i="10"/>
  <c r="H305" i="10"/>
  <c r="G271" i="10"/>
  <c r="H271" i="10"/>
  <c r="G227" i="10"/>
  <c r="H227" i="10"/>
  <c r="G154" i="10"/>
  <c r="H154" i="10"/>
  <c r="H118" i="10"/>
  <c r="G118" i="10"/>
  <c r="H35" i="10"/>
  <c r="G35" i="10"/>
  <c r="H996" i="10"/>
  <c r="H947" i="10"/>
  <c r="H909" i="10"/>
  <c r="H866" i="10"/>
  <c r="H811" i="10"/>
  <c r="H607" i="10"/>
  <c r="H496" i="10"/>
  <c r="G1005" i="10"/>
  <c r="H1005" i="10"/>
  <c r="G767" i="10"/>
  <c r="H767" i="10"/>
  <c r="G406" i="10"/>
  <c r="H406" i="10"/>
  <c r="K884" i="10"/>
  <c r="G745" i="10"/>
  <c r="H745" i="10"/>
  <c r="G482" i="10"/>
  <c r="H482" i="10"/>
  <c r="G122" i="10"/>
  <c r="H122" i="10"/>
  <c r="H765" i="10"/>
  <c r="G765" i="10"/>
  <c r="G427" i="10"/>
  <c r="H427" i="10"/>
  <c r="G799" i="10"/>
  <c r="H799" i="10"/>
  <c r="H816" i="10"/>
  <c r="G816" i="10"/>
  <c r="G815" i="10"/>
  <c r="H815" i="10"/>
  <c r="G623" i="10"/>
  <c r="H623" i="10"/>
  <c r="G600" i="10"/>
  <c r="H600" i="10"/>
  <c r="H579" i="10"/>
  <c r="G579" i="10"/>
  <c r="G551" i="10"/>
  <c r="H551" i="10"/>
  <c r="G529" i="10"/>
  <c r="H529" i="10"/>
  <c r="G500" i="10"/>
  <c r="H500" i="10"/>
  <c r="H476" i="10"/>
  <c r="G476" i="10"/>
  <c r="G447" i="10"/>
  <c r="H447" i="10"/>
  <c r="G393" i="10"/>
  <c r="H393" i="10"/>
  <c r="H361" i="10"/>
  <c r="G361" i="10"/>
  <c r="H329" i="10"/>
  <c r="G329" i="10"/>
  <c r="G295" i="10"/>
  <c r="H295" i="10"/>
  <c r="G261" i="10"/>
  <c r="H261" i="10"/>
  <c r="G226" i="10"/>
  <c r="H226" i="10"/>
  <c r="G190" i="10"/>
  <c r="H190" i="10"/>
  <c r="G107" i="10"/>
  <c r="H107" i="10"/>
  <c r="H71" i="10"/>
  <c r="G71" i="10"/>
  <c r="G34" i="10"/>
  <c r="H34" i="10"/>
  <c r="H995" i="10"/>
  <c r="H946" i="10"/>
  <c r="H865" i="10"/>
  <c r="H676" i="10"/>
  <c r="H606" i="10"/>
  <c r="H294" i="10"/>
  <c r="G749" i="10"/>
  <c r="H749" i="10"/>
  <c r="G430" i="10"/>
  <c r="H430" i="10"/>
  <c r="G838" i="10"/>
  <c r="H838" i="10"/>
  <c r="G562" i="10"/>
  <c r="H562" i="10"/>
  <c r="G481" i="10"/>
  <c r="H481" i="10"/>
  <c r="G836" i="10"/>
  <c r="H836" i="10"/>
  <c r="G681" i="10"/>
  <c r="H681" i="10"/>
  <c r="H833" i="10"/>
  <c r="G833" i="10"/>
  <c r="G661" i="10"/>
  <c r="H661" i="10"/>
  <c r="G679" i="10"/>
  <c r="H679" i="10"/>
  <c r="G660" i="10"/>
  <c r="H660" i="10"/>
  <c r="G641" i="10"/>
  <c r="H641" i="10"/>
  <c r="G622" i="10"/>
  <c r="H622" i="10"/>
  <c r="G599" i="10"/>
  <c r="H599" i="10"/>
  <c r="H578" i="10"/>
  <c r="G578" i="10"/>
  <c r="G550" i="10"/>
  <c r="H550" i="10"/>
  <c r="H528" i="10"/>
  <c r="G528" i="10"/>
  <c r="G499" i="10"/>
  <c r="H499" i="10"/>
  <c r="G475" i="10"/>
  <c r="H475" i="10"/>
  <c r="G422" i="10"/>
  <c r="H422" i="10"/>
  <c r="G392" i="10"/>
  <c r="H392" i="10"/>
  <c r="G360" i="10"/>
  <c r="H360" i="10"/>
  <c r="G328" i="10"/>
  <c r="H328" i="10"/>
  <c r="G260" i="10"/>
  <c r="H260" i="10"/>
  <c r="H225" i="10"/>
  <c r="G225" i="10"/>
  <c r="G188" i="10"/>
  <c r="H188" i="10"/>
  <c r="G152" i="10"/>
  <c r="H152" i="10"/>
  <c r="F106" i="10"/>
  <c r="F70" i="10"/>
  <c r="F33" i="10"/>
  <c r="H985" i="10"/>
  <c r="H945" i="10"/>
  <c r="H907" i="10"/>
  <c r="H864" i="10"/>
  <c r="H809" i="10"/>
  <c r="G87" i="10"/>
  <c r="H87" i="10"/>
  <c r="H894" i="10"/>
  <c r="G894" i="10"/>
  <c r="G688" i="10"/>
  <c r="H688" i="10"/>
  <c r="G374" i="10"/>
  <c r="H374" i="10"/>
  <c r="G837" i="10"/>
  <c r="H837" i="10"/>
  <c r="G800" i="10"/>
  <c r="H800" i="10"/>
  <c r="G781" i="10"/>
  <c r="H781" i="10"/>
  <c r="G834" i="10"/>
  <c r="H834" i="10"/>
  <c r="H851" i="10"/>
  <c r="G851" i="10"/>
  <c r="G721" i="10"/>
  <c r="H721" i="10"/>
  <c r="G776" i="10"/>
  <c r="H776" i="10"/>
  <c r="H885" i="10"/>
  <c r="G885" i="10"/>
  <c r="G757" i="10"/>
  <c r="H757" i="10"/>
  <c r="H738" i="10"/>
  <c r="G738" i="10"/>
  <c r="G719" i="10"/>
  <c r="H719" i="10"/>
  <c r="H697" i="10"/>
  <c r="G697" i="10"/>
  <c r="G678" i="10"/>
  <c r="H678" i="10"/>
  <c r="H659" i="10"/>
  <c r="G659" i="10"/>
  <c r="G640" i="10"/>
  <c r="H640" i="10"/>
  <c r="G621" i="10"/>
  <c r="H621" i="10"/>
  <c r="G598" i="10"/>
  <c r="H598" i="10"/>
  <c r="H577" i="10"/>
  <c r="G577" i="10"/>
  <c r="G549" i="10"/>
  <c r="H549" i="10"/>
  <c r="G527" i="10"/>
  <c r="H527" i="10"/>
  <c r="H498" i="10"/>
  <c r="G498" i="10"/>
  <c r="G474" i="10"/>
  <c r="H474" i="10"/>
  <c r="G415" i="10"/>
  <c r="H415" i="10"/>
  <c r="G391" i="10"/>
  <c r="H391" i="10"/>
  <c r="G359" i="10"/>
  <c r="H359" i="10"/>
  <c r="G327" i="10"/>
  <c r="H327" i="10"/>
  <c r="F293" i="10"/>
  <c r="F259" i="10"/>
  <c r="F224" i="10"/>
  <c r="F187" i="10"/>
  <c r="F142" i="10"/>
  <c r="F105" i="10"/>
  <c r="F69" i="10"/>
  <c r="F32" i="10"/>
  <c r="H983" i="10"/>
  <c r="H944" i="10"/>
  <c r="H854" i="10"/>
  <c r="H466" i="10"/>
  <c r="G895" i="10"/>
  <c r="H895" i="10"/>
  <c r="G727" i="10"/>
  <c r="H727" i="10"/>
  <c r="H483" i="10"/>
  <c r="G483" i="10"/>
  <c r="G242" i="10"/>
  <c r="H242" i="10"/>
  <c r="K830" i="10"/>
  <c r="G930" i="10"/>
  <c r="H930" i="10"/>
  <c r="G669" i="10"/>
  <c r="H669" i="10"/>
  <c r="H893" i="10"/>
  <c r="G893" i="10"/>
  <c r="G561" i="10"/>
  <c r="H561" i="10"/>
  <c r="H1000" i="10"/>
  <c r="G1000" i="10"/>
  <c r="K740" i="10"/>
  <c r="G814" i="10"/>
  <c r="H814" i="10"/>
  <c r="H920" i="10"/>
  <c r="G920" i="10"/>
  <c r="G658" i="10"/>
  <c r="H658" i="10"/>
  <c r="G617" i="10"/>
  <c r="H617" i="10"/>
  <c r="G597" i="10"/>
  <c r="H597" i="10"/>
  <c r="G576" i="10"/>
  <c r="H576" i="10"/>
  <c r="G548" i="10"/>
  <c r="H548" i="10"/>
  <c r="G526" i="10"/>
  <c r="H526" i="10"/>
  <c r="G497" i="10"/>
  <c r="H497" i="10"/>
  <c r="H473" i="10"/>
  <c r="G473" i="10"/>
  <c r="G443" i="10"/>
  <c r="H443" i="10"/>
  <c r="G390" i="10"/>
  <c r="H390" i="10"/>
  <c r="G358" i="10"/>
  <c r="H358" i="10"/>
  <c r="G326" i="10"/>
  <c r="H326" i="10"/>
  <c r="F292" i="10"/>
  <c r="F258" i="10"/>
  <c r="F223" i="10"/>
  <c r="F186" i="10"/>
  <c r="F140" i="10"/>
  <c r="F104" i="10"/>
  <c r="F68" i="10"/>
  <c r="F20" i="10"/>
  <c r="H981" i="10"/>
  <c r="H943" i="10"/>
  <c r="H905" i="10"/>
  <c r="H852" i="10"/>
  <c r="H793" i="10"/>
  <c r="H446" i="10"/>
  <c r="G900" i="10"/>
  <c r="G839" i="10"/>
  <c r="H839" i="10"/>
  <c r="G708" i="10"/>
  <c r="H708" i="10"/>
  <c r="G459" i="10"/>
  <c r="H459" i="10"/>
  <c r="G51" i="10"/>
  <c r="H51" i="10"/>
  <c r="G912" i="10"/>
  <c r="H912" i="10"/>
  <c r="G309" i="10"/>
  <c r="H309" i="10"/>
  <c r="G511" i="10"/>
  <c r="H511" i="10"/>
  <c r="G818" i="10"/>
  <c r="H818" i="10"/>
  <c r="H835" i="10"/>
  <c r="G835" i="10"/>
  <c r="G779" i="10"/>
  <c r="H779" i="10"/>
  <c r="G642" i="10"/>
  <c r="H642" i="10"/>
  <c r="G795" i="10"/>
  <c r="H795" i="10"/>
  <c r="H939" i="10"/>
  <c r="G939" i="10"/>
  <c r="G718" i="10"/>
  <c r="H718" i="10"/>
  <c r="G937" i="10"/>
  <c r="H937" i="10"/>
  <c r="H596" i="10"/>
  <c r="G596" i="10"/>
  <c r="G442" i="10"/>
  <c r="H442" i="10"/>
  <c r="G412" i="10"/>
  <c r="H412" i="10"/>
  <c r="G389" i="10"/>
  <c r="H389" i="10"/>
  <c r="G357" i="10"/>
  <c r="H357" i="10"/>
  <c r="G325" i="10"/>
  <c r="H325" i="10"/>
  <c r="F291" i="10"/>
  <c r="F257" i="10"/>
  <c r="F222" i="10"/>
  <c r="F176" i="10"/>
  <c r="F139" i="10"/>
  <c r="F103" i="10"/>
  <c r="F67" i="10"/>
  <c r="F19" i="10"/>
  <c r="H980" i="10"/>
  <c r="H942" i="10"/>
  <c r="H849" i="10"/>
  <c r="H792" i="10"/>
  <c r="H585" i="10"/>
  <c r="H444" i="10"/>
  <c r="H877" i="10"/>
  <c r="G877" i="10"/>
  <c r="G629" i="10"/>
  <c r="H629" i="10"/>
  <c r="K925" i="10"/>
  <c r="H984" i="10"/>
  <c r="G984" i="10"/>
  <c r="G802" i="10"/>
  <c r="H802" i="10"/>
  <c r="G512" i="10"/>
  <c r="H512" i="10"/>
  <c r="H86" i="10"/>
  <c r="G86" i="10"/>
  <c r="G783" i="10"/>
  <c r="H783" i="10"/>
  <c r="G627" i="10"/>
  <c r="H627" i="10"/>
  <c r="G798" i="10"/>
  <c r="H798" i="10"/>
  <c r="G702" i="10"/>
  <c r="H702" i="10"/>
  <c r="G904" i="10"/>
  <c r="H904" i="10"/>
  <c r="H739" i="10"/>
  <c r="G739" i="10"/>
  <c r="G903" i="10"/>
  <c r="H903" i="10"/>
  <c r="G994" i="10"/>
  <c r="H994" i="10"/>
  <c r="G677" i="10"/>
  <c r="H677" i="10"/>
  <c r="G993" i="10"/>
  <c r="H993" i="10"/>
  <c r="G901" i="10"/>
  <c r="H901" i="10"/>
  <c r="G616" i="10"/>
  <c r="H616" i="10"/>
  <c r="G974" i="10"/>
  <c r="H974" i="10"/>
  <c r="K900" i="10"/>
  <c r="G882" i="10"/>
  <c r="H882" i="10"/>
  <c r="G846" i="10"/>
  <c r="H846" i="10"/>
  <c r="F827" i="10"/>
  <c r="F808" i="10"/>
  <c r="F790" i="10"/>
  <c r="F772" i="10"/>
  <c r="F754" i="10"/>
  <c r="F735" i="10"/>
  <c r="F713" i="10"/>
  <c r="F694" i="10"/>
  <c r="F675" i="10"/>
  <c r="F656" i="10"/>
  <c r="F637" i="10"/>
  <c r="F615" i="10"/>
  <c r="F595" i="10"/>
  <c r="F568" i="10"/>
  <c r="F546" i="10"/>
  <c r="F523" i="10"/>
  <c r="F495" i="10"/>
  <c r="F465" i="10"/>
  <c r="F441" i="10"/>
  <c r="F411" i="10"/>
  <c r="F380" i="10"/>
  <c r="F356" i="10"/>
  <c r="F324" i="10"/>
  <c r="F290" i="10"/>
  <c r="F256" i="10"/>
  <c r="F220" i="10"/>
  <c r="F175" i="10"/>
  <c r="F138" i="10"/>
  <c r="F102" i="10"/>
  <c r="F56" i="10"/>
  <c r="F18" i="10"/>
  <c r="H979" i="10"/>
  <c r="H941" i="10"/>
  <c r="H891" i="10"/>
  <c r="H848" i="10"/>
  <c r="H791" i="10"/>
  <c r="H584" i="10"/>
  <c r="H423" i="10"/>
  <c r="H204" i="10"/>
  <c r="G931" i="10"/>
  <c r="H931" i="10"/>
  <c r="H563" i="10"/>
  <c r="G563" i="10"/>
  <c r="G820" i="10"/>
  <c r="H820" i="10"/>
  <c r="H534" i="10"/>
  <c r="G534" i="10"/>
  <c r="H801" i="10"/>
  <c r="G801" i="10"/>
  <c r="G760" i="10"/>
  <c r="H760" i="10"/>
  <c r="H887" i="10"/>
  <c r="G887" i="10"/>
  <c r="H680" i="10"/>
  <c r="G680" i="10"/>
  <c r="H868" i="10"/>
  <c r="G868" i="10"/>
  <c r="G919" i="10"/>
  <c r="H919" i="10"/>
  <c r="G575" i="10"/>
  <c r="H575" i="10"/>
  <c r="G992" i="10"/>
  <c r="H992" i="10"/>
  <c r="G991" i="10"/>
  <c r="H991" i="10"/>
  <c r="G917" i="10"/>
  <c r="H917" i="10"/>
  <c r="G881" i="10"/>
  <c r="H881" i="10"/>
  <c r="F845" i="10"/>
  <c r="F825" i="10"/>
  <c r="F807" i="10"/>
  <c r="F789" i="10"/>
  <c r="F771" i="10"/>
  <c r="F753" i="10"/>
  <c r="F734" i="10"/>
  <c r="F712" i="10"/>
  <c r="F693" i="10"/>
  <c r="F674" i="10"/>
  <c r="F655" i="10"/>
  <c r="F633" i="10"/>
  <c r="F614" i="10"/>
  <c r="F594" i="10"/>
  <c r="F567" i="10"/>
  <c r="F545" i="10"/>
  <c r="F517" i="10"/>
  <c r="F494" i="10"/>
  <c r="F464" i="10"/>
  <c r="F440" i="10"/>
  <c r="F410" i="10"/>
  <c r="F379" i="10"/>
  <c r="F355" i="10"/>
  <c r="F323" i="10"/>
  <c r="F289" i="10"/>
  <c r="F255" i="10"/>
  <c r="F210" i="10"/>
  <c r="F174" i="10"/>
  <c r="F137" i="10"/>
  <c r="F101" i="10"/>
  <c r="F55" i="10"/>
  <c r="H978" i="10"/>
  <c r="H929" i="10"/>
  <c r="H847" i="10"/>
  <c r="H717" i="10"/>
  <c r="G850" i="10"/>
  <c r="G913" i="10"/>
  <c r="H913" i="10"/>
  <c r="G670" i="10"/>
  <c r="H670" i="10"/>
  <c r="G276" i="10"/>
  <c r="H276" i="10"/>
  <c r="H966" i="10"/>
  <c r="G966" i="10"/>
  <c r="G647" i="10"/>
  <c r="H647" i="10"/>
  <c r="G855" i="10"/>
  <c r="H855" i="10"/>
  <c r="G665" i="10"/>
  <c r="H665" i="10"/>
  <c r="G703" i="10"/>
  <c r="H703" i="10"/>
  <c r="G797" i="10"/>
  <c r="H797" i="10"/>
  <c r="I850" i="10"/>
  <c r="K850" i="10"/>
  <c r="G976" i="10"/>
  <c r="H976" i="10"/>
  <c r="G639" i="10"/>
  <c r="H639" i="10"/>
  <c r="G524" i="10"/>
  <c r="H524" i="10"/>
  <c r="G955" i="10"/>
  <c r="H955" i="10"/>
  <c r="G973" i="10"/>
  <c r="H973" i="10"/>
  <c r="H899" i="10"/>
  <c r="G899" i="10"/>
  <c r="G863" i="10"/>
  <c r="H863" i="10"/>
  <c r="F13" i="10"/>
  <c r="F29" i="10"/>
  <c r="F45" i="10"/>
  <c r="F61" i="10"/>
  <c r="F77" i="10"/>
  <c r="F93" i="10"/>
  <c r="F109" i="10"/>
  <c r="F125" i="10"/>
  <c r="F141" i="10"/>
  <c r="F157" i="10"/>
  <c r="F173" i="10"/>
  <c r="F189" i="10"/>
  <c r="F205" i="10"/>
  <c r="F221" i="10"/>
  <c r="F237" i="10"/>
  <c r="F253" i="10"/>
  <c r="F269" i="10"/>
  <c r="F285" i="10"/>
  <c r="F301" i="10"/>
  <c r="F317" i="10"/>
  <c r="F333" i="10"/>
  <c r="F349" i="10"/>
  <c r="F365" i="10"/>
  <c r="F381" i="10"/>
  <c r="F397" i="10"/>
  <c r="F413" i="10"/>
  <c r="F429" i="10"/>
  <c r="F445" i="10"/>
  <c r="F461" i="10"/>
  <c r="F477" i="10"/>
  <c r="F493" i="10"/>
  <c r="F509" i="10"/>
  <c r="F525" i="10"/>
  <c r="F541" i="10"/>
  <c r="F557" i="10"/>
  <c r="F573" i="10"/>
  <c r="F15" i="10"/>
  <c r="F31" i="10"/>
  <c r="F47" i="10"/>
  <c r="F21" i="10"/>
  <c r="F39" i="10"/>
  <c r="F57" i="10"/>
  <c r="F74" i="10"/>
  <c r="F91" i="10"/>
  <c r="F108" i="10"/>
  <c r="F126" i="10"/>
  <c r="F143" i="10"/>
  <c r="F160" i="10"/>
  <c r="F177" i="10"/>
  <c r="F194" i="10"/>
  <c r="F211" i="10"/>
  <c r="F228" i="10"/>
  <c r="F245" i="10"/>
  <c r="F262" i="10"/>
  <c r="F279" i="10"/>
  <c r="F296" i="10"/>
  <c r="F313" i="10"/>
  <c r="F330" i="10"/>
  <c r="F347" i="10"/>
  <c r="F364" i="10"/>
  <c r="F382" i="10"/>
  <c r="F399" i="10"/>
  <c r="F416" i="10"/>
  <c r="F433" i="10"/>
  <c r="F450" i="10"/>
  <c r="F467" i="10"/>
  <c r="F484" i="10"/>
  <c r="F501" i="10"/>
  <c r="F518" i="10"/>
  <c r="F535" i="10"/>
  <c r="F552" i="10"/>
  <c r="F569" i="10"/>
  <c r="F586" i="10"/>
  <c r="F602" i="10"/>
  <c r="F618" i="10"/>
  <c r="F634" i="10"/>
  <c r="F650" i="10"/>
  <c r="F666" i="10"/>
  <c r="F682" i="10"/>
  <c r="F698" i="10"/>
  <c r="F714" i="10"/>
  <c r="F730" i="10"/>
  <c r="F746" i="10"/>
  <c r="F762" i="10"/>
  <c r="F778" i="10"/>
  <c r="F794" i="10"/>
  <c r="F810" i="10"/>
  <c r="F826" i="10"/>
  <c r="F842" i="10"/>
  <c r="F858" i="10"/>
  <c r="F874" i="10"/>
  <c r="F890" i="10"/>
  <c r="F906" i="10"/>
  <c r="F922" i="10"/>
  <c r="F938" i="10"/>
  <c r="F954" i="10"/>
  <c r="F970" i="10"/>
  <c r="F986" i="10"/>
  <c r="F1002" i="10"/>
  <c r="F58" i="10"/>
  <c r="F178" i="10"/>
  <c r="F212" i="10"/>
  <c r="F246" i="10"/>
  <c r="F280" i="10"/>
  <c r="F297" i="10"/>
  <c r="F331" i="10"/>
  <c r="F366" i="10"/>
  <c r="F400" i="10"/>
  <c r="F434" i="10"/>
  <c r="F451" i="10"/>
  <c r="F485" i="10"/>
  <c r="F502" i="10"/>
  <c r="F536" i="10"/>
  <c r="F553" i="10"/>
  <c r="F570" i="10"/>
  <c r="F603" i="10"/>
  <c r="F635" i="10"/>
  <c r="F667" i="10"/>
  <c r="F699" i="10"/>
  <c r="F715" i="10"/>
  <c r="F747" i="10"/>
  <c r="F22" i="10"/>
  <c r="F40" i="10"/>
  <c r="F75" i="10"/>
  <c r="F92" i="10"/>
  <c r="F110" i="10"/>
  <c r="F127" i="10"/>
  <c r="F144" i="10"/>
  <c r="F161" i="10"/>
  <c r="F195" i="10"/>
  <c r="F229" i="10"/>
  <c r="F263" i="10"/>
  <c r="F314" i="10"/>
  <c r="F348" i="10"/>
  <c r="F383" i="10"/>
  <c r="F417" i="10"/>
  <c r="F468" i="10"/>
  <c r="F519" i="10"/>
  <c r="F587" i="10"/>
  <c r="F619" i="10"/>
  <c r="F651" i="10"/>
  <c r="F683" i="10"/>
  <c r="F731" i="10"/>
  <c r="F23" i="10"/>
  <c r="F41" i="10"/>
  <c r="F59" i="10"/>
  <c r="F76" i="10"/>
  <c r="F94" i="10"/>
  <c r="F111" i="10"/>
  <c r="F128" i="10"/>
  <c r="F145" i="10"/>
  <c r="F162" i="10"/>
  <c r="F179" i="10"/>
  <c r="F196" i="10"/>
  <c r="F213" i="10"/>
  <c r="F230" i="10"/>
  <c r="F247" i="10"/>
  <c r="F264" i="10"/>
  <c r="F281" i="10"/>
  <c r="F298" i="10"/>
  <c r="F315" i="10"/>
  <c r="F332" i="10"/>
  <c r="F350" i="10"/>
  <c r="F367" i="10"/>
  <c r="F384" i="10"/>
  <c r="F401" i="10"/>
  <c r="F418" i="10"/>
  <c r="F435" i="10"/>
  <c r="F452" i="10"/>
  <c r="F469" i="10"/>
  <c r="F486" i="10"/>
  <c r="F503" i="10"/>
  <c r="F520" i="10"/>
  <c r="F537" i="10"/>
  <c r="F554" i="10"/>
  <c r="F571" i="10"/>
  <c r="F588" i="10"/>
  <c r="F604" i="10"/>
  <c r="F620" i="10"/>
  <c r="F636" i="10"/>
  <c r="F652" i="10"/>
  <c r="F668" i="10"/>
  <c r="F684" i="10"/>
  <c r="F700" i="10"/>
  <c r="F716" i="10"/>
  <c r="F732" i="10"/>
  <c r="F748" i="10"/>
  <c r="F764" i="10"/>
  <c r="F780" i="10"/>
  <c r="F796" i="10"/>
  <c r="F812" i="10"/>
  <c r="F828" i="10"/>
  <c r="F844" i="10"/>
  <c r="F860" i="10"/>
  <c r="F876" i="10"/>
  <c r="F892" i="10"/>
  <c r="F908" i="10"/>
  <c r="F924" i="10"/>
  <c r="F940" i="10"/>
  <c r="F956" i="10"/>
  <c r="F972" i="10"/>
  <c r="F988" i="10"/>
  <c r="F1004" i="10"/>
  <c r="F24" i="10"/>
  <c r="F42" i="10"/>
  <c r="F60" i="10"/>
  <c r="F78" i="10"/>
  <c r="F95" i="10"/>
  <c r="F112" i="10"/>
  <c r="F129" i="10"/>
  <c r="F146" i="10"/>
  <c r="F163" i="10"/>
  <c r="F180" i="10"/>
  <c r="F197" i="10"/>
  <c r="F214" i="10"/>
  <c r="F231" i="10"/>
  <c r="F248" i="10"/>
  <c r="F265" i="10"/>
  <c r="F282" i="10"/>
  <c r="F299" i="10"/>
  <c r="F316" i="10"/>
  <c r="F334" i="10"/>
  <c r="F351" i="10"/>
  <c r="F368" i="10"/>
  <c r="F385" i="10"/>
  <c r="F402" i="10"/>
  <c r="F419" i="10"/>
  <c r="F436" i="10"/>
  <c r="F453" i="10"/>
  <c r="F470" i="10"/>
  <c r="F487" i="10"/>
  <c r="F504" i="10"/>
  <c r="F521" i="10"/>
  <c r="F538" i="10"/>
  <c r="F555" i="10"/>
  <c r="F572" i="10"/>
  <c r="F589" i="10"/>
  <c r="F605" i="10"/>
  <c r="F7" i="10"/>
  <c r="F25" i="10"/>
  <c r="F43" i="10"/>
  <c r="F62" i="10"/>
  <c r="F79" i="10"/>
  <c r="F96" i="10"/>
  <c r="F113" i="10"/>
  <c r="F130" i="10"/>
  <c r="F147" i="10"/>
  <c r="F164" i="10"/>
  <c r="F181" i="10"/>
  <c r="F198" i="10"/>
  <c r="F215" i="10"/>
  <c r="F232" i="10"/>
  <c r="F249" i="10"/>
  <c r="F266" i="10"/>
  <c r="F283" i="10"/>
  <c r="F300" i="10"/>
  <c r="F318" i="10"/>
  <c r="F335" i="10"/>
  <c r="F352" i="10"/>
  <c r="F369" i="10"/>
  <c r="F386" i="10"/>
  <c r="F403" i="10"/>
  <c r="F420" i="10"/>
  <c r="F437" i="10"/>
  <c r="F454" i="10"/>
  <c r="F471" i="10"/>
  <c r="F488" i="10"/>
  <c r="F505" i="10"/>
  <c r="F522" i="10"/>
  <c r="F539" i="10"/>
  <c r="F556" i="10"/>
  <c r="F574" i="10"/>
  <c r="F590" i="10"/>
  <c r="F8" i="10"/>
  <c r="F26" i="10"/>
  <c r="F44" i="10"/>
  <c r="F63" i="10"/>
  <c r="F80" i="10"/>
  <c r="F97" i="10"/>
  <c r="F114" i="10"/>
  <c r="F131" i="10"/>
  <c r="F148" i="10"/>
  <c r="F165" i="10"/>
  <c r="F182" i="10"/>
  <c r="F199" i="10"/>
  <c r="F216" i="10"/>
  <c r="F233" i="10"/>
  <c r="F250" i="10"/>
  <c r="F267" i="10"/>
  <c r="F284" i="10"/>
  <c r="F302" i="10"/>
  <c r="F319" i="10"/>
  <c r="F336" i="10"/>
  <c r="F353" i="10"/>
  <c r="F370" i="10"/>
  <c r="F387" i="10"/>
  <c r="F404" i="10"/>
  <c r="F421" i="10"/>
  <c r="F438" i="10"/>
  <c r="F455" i="10"/>
  <c r="F472" i="10"/>
  <c r="F489" i="10"/>
  <c r="F506" i="10"/>
  <c r="F9" i="10"/>
  <c r="F27" i="10"/>
  <c r="F46" i="10"/>
  <c r="F64" i="10"/>
  <c r="F81" i="10"/>
  <c r="F98" i="10"/>
  <c r="F115" i="10"/>
  <c r="F132" i="10"/>
  <c r="F149" i="10"/>
  <c r="F166" i="10"/>
  <c r="F183" i="10"/>
  <c r="F200" i="10"/>
  <c r="F217" i="10"/>
  <c r="F234" i="10"/>
  <c r="F251" i="10"/>
  <c r="F268" i="10"/>
  <c r="F286" i="10"/>
  <c r="F303" i="10"/>
  <c r="F320" i="10"/>
  <c r="F337" i="10"/>
  <c r="F354" i="10"/>
  <c r="F371" i="10"/>
  <c r="F388" i="10"/>
  <c r="F10" i="10"/>
  <c r="F28" i="10"/>
  <c r="F48" i="10"/>
  <c r="F65" i="10"/>
  <c r="F82" i="10"/>
  <c r="F99" i="10"/>
  <c r="F116" i="10"/>
  <c r="F133" i="10"/>
  <c r="F150" i="10"/>
  <c r="F167" i="10"/>
  <c r="F184" i="10"/>
  <c r="F201" i="10"/>
  <c r="F218" i="10"/>
  <c r="F235" i="10"/>
  <c r="F252" i="10"/>
  <c r="F270" i="10"/>
  <c r="F287" i="10"/>
  <c r="F304" i="10"/>
  <c r="F321" i="10"/>
  <c r="F11" i="10"/>
  <c r="F30" i="10"/>
  <c r="F49" i="10"/>
  <c r="F66" i="10"/>
  <c r="F83" i="10"/>
  <c r="F100" i="10"/>
  <c r="F117" i="10"/>
  <c r="F134" i="10"/>
  <c r="F151" i="10"/>
  <c r="F168" i="10"/>
  <c r="F185" i="10"/>
  <c r="F202" i="10"/>
  <c r="F219" i="10"/>
  <c r="F236" i="10"/>
  <c r="F990" i="10"/>
  <c r="F971" i="10"/>
  <c r="F952" i="10"/>
  <c r="F934" i="10"/>
  <c r="F916" i="10"/>
  <c r="F898" i="10"/>
  <c r="F880" i="10"/>
  <c r="F862" i="10"/>
  <c r="F843" i="10"/>
  <c r="F824" i="10"/>
  <c r="F806" i="10"/>
  <c r="F788" i="10"/>
  <c r="F770" i="10"/>
  <c r="F752" i="10"/>
  <c r="F733" i="10"/>
  <c r="F711" i="10"/>
  <c r="F692" i="10"/>
  <c r="F673" i="10"/>
  <c r="F654" i="10"/>
  <c r="F632" i="10"/>
  <c r="F613" i="10"/>
  <c r="F593" i="10"/>
  <c r="F566" i="10"/>
  <c r="F544" i="10"/>
  <c r="F516" i="10"/>
  <c r="F492" i="10"/>
  <c r="F463" i="10"/>
  <c r="F439" i="10"/>
  <c r="F409" i="10"/>
  <c r="F378" i="10"/>
  <c r="F346" i="10"/>
  <c r="F322" i="10"/>
  <c r="F288" i="10"/>
  <c r="F254" i="10"/>
  <c r="F209" i="10"/>
  <c r="F172" i="10"/>
  <c r="F136" i="10"/>
  <c r="F90" i="10"/>
  <c r="F54" i="10"/>
  <c r="F16" i="10"/>
  <c r="H977" i="10"/>
  <c r="H928" i="10"/>
  <c r="H889" i="10"/>
  <c r="H775" i="10"/>
  <c r="H396" i="10"/>
  <c r="G949" i="10"/>
  <c r="H949" i="10"/>
  <c r="H648" i="10"/>
  <c r="G648" i="10"/>
  <c r="G875" i="10"/>
  <c r="G275" i="10"/>
  <c r="H275" i="10"/>
  <c r="G583" i="10"/>
  <c r="H583" i="10"/>
  <c r="G759" i="10"/>
  <c r="H759" i="10"/>
  <c r="G720" i="10"/>
  <c r="H720" i="10"/>
  <c r="G902" i="10"/>
  <c r="H902" i="10"/>
  <c r="G957" i="10"/>
  <c r="H957" i="10"/>
  <c r="H936" i="10"/>
  <c r="G936" i="10"/>
  <c r="G953" i="10"/>
  <c r="H953" i="10"/>
  <c r="G969" i="10"/>
  <c r="H969" i="10"/>
  <c r="F933" i="10"/>
  <c r="F897" i="10"/>
  <c r="F861" i="10"/>
  <c r="F823" i="10"/>
  <c r="F787" i="10"/>
  <c r="F769" i="10"/>
  <c r="F729" i="10"/>
  <c r="F691" i="10"/>
  <c r="F653" i="10"/>
  <c r="F592" i="10"/>
  <c r="F462" i="10"/>
  <c r="F312" i="10"/>
  <c r="F244" i="10"/>
  <c r="F208" i="10"/>
  <c r="F171" i="10"/>
  <c r="F135" i="10"/>
  <c r="F53" i="10"/>
  <c r="F14" i="10"/>
  <c r="H965" i="10"/>
  <c r="H927" i="10"/>
  <c r="H888" i="10"/>
  <c r="H832" i="10"/>
  <c r="H774" i="10"/>
  <c r="H559" i="10"/>
  <c r="H394" i="10"/>
  <c r="G803" i="10"/>
  <c r="H785" i="10"/>
  <c r="G785" i="10"/>
  <c r="G513" i="10"/>
  <c r="H513" i="10"/>
  <c r="G169" i="10"/>
  <c r="H169" i="10"/>
  <c r="H540" i="10"/>
  <c r="G726" i="10"/>
  <c r="H726" i="10"/>
  <c r="G342" i="10"/>
  <c r="H342" i="10"/>
  <c r="G646" i="10"/>
  <c r="H646" i="10"/>
  <c r="G853" i="10"/>
  <c r="H853" i="10"/>
  <c r="H998" i="10"/>
  <c r="G998" i="10"/>
  <c r="G722" i="10"/>
  <c r="H722" i="10"/>
  <c r="G777" i="10"/>
  <c r="H777" i="10"/>
  <c r="G758" i="10"/>
  <c r="H758" i="10"/>
  <c r="G921" i="10"/>
  <c r="H921" i="10"/>
  <c r="H867" i="10"/>
  <c r="G867" i="10"/>
  <c r="H958" i="10"/>
  <c r="G958" i="10"/>
  <c r="G737" i="10"/>
  <c r="H737" i="10"/>
  <c r="G975" i="10"/>
  <c r="H975" i="10"/>
  <c r="G883" i="10"/>
  <c r="H883" i="10"/>
  <c r="G755" i="10"/>
  <c r="H755" i="10"/>
  <c r="G638" i="10"/>
  <c r="H638" i="10"/>
  <c r="H547" i="10"/>
  <c r="G547" i="10"/>
  <c r="H918" i="10"/>
  <c r="G918" i="10"/>
  <c r="G935" i="10"/>
  <c r="H935" i="10"/>
  <c r="G989" i="10"/>
  <c r="H989" i="10"/>
  <c r="F951" i="10"/>
  <c r="F915" i="10"/>
  <c r="F879" i="10"/>
  <c r="F841" i="10"/>
  <c r="F805" i="10"/>
  <c r="F751" i="10"/>
  <c r="F710" i="10"/>
  <c r="F672" i="10"/>
  <c r="F631" i="10"/>
  <c r="F612" i="10"/>
  <c r="F565" i="10"/>
  <c r="F543" i="10"/>
  <c r="F515" i="10"/>
  <c r="F491" i="10"/>
  <c r="F432" i="10"/>
  <c r="F408" i="10"/>
  <c r="F377" i="10"/>
  <c r="F345" i="10"/>
  <c r="F278" i="10"/>
  <c r="F89" i="10"/>
  <c r="F1006" i="10"/>
  <c r="F987" i="10"/>
  <c r="F968" i="10"/>
  <c r="F950" i="10"/>
  <c r="F932" i="10"/>
  <c r="F914" i="10"/>
  <c r="F896" i="10"/>
  <c r="F878" i="10"/>
  <c r="F859" i="10"/>
  <c r="F840" i="10"/>
  <c r="F822" i="10"/>
  <c r="F804" i="10"/>
  <c r="F786" i="10"/>
  <c r="F768" i="10"/>
  <c r="F750" i="10"/>
  <c r="F728" i="10"/>
  <c r="F709" i="10"/>
  <c r="F690" i="10"/>
  <c r="F671" i="10"/>
  <c r="F649" i="10"/>
  <c r="F630" i="10"/>
  <c r="F611" i="10"/>
  <c r="F591" i="10"/>
  <c r="F564" i="10"/>
  <c r="F542" i="10"/>
  <c r="F514" i="10"/>
  <c r="F490" i="10"/>
  <c r="F460" i="10"/>
  <c r="F431" i="10"/>
  <c r="F407" i="10"/>
  <c r="F376" i="10"/>
  <c r="F344" i="10"/>
  <c r="F311" i="10"/>
  <c r="F277" i="10"/>
  <c r="F243" i="10"/>
  <c r="F207" i="10"/>
  <c r="F170" i="10"/>
  <c r="F124" i="10"/>
  <c r="F88" i="10"/>
  <c r="F52" i="10"/>
  <c r="F12" i="10"/>
  <c r="H964" i="10"/>
  <c r="H926" i="10"/>
  <c r="H886" i="10"/>
  <c r="H831" i="10"/>
  <c r="H773" i="10"/>
  <c r="H558" i="10"/>
  <c r="H373" i="10"/>
  <c r="G740" i="10"/>
  <c r="E9" i="9"/>
  <c r="D9" i="9"/>
  <c r="C70" i="6"/>
  <c r="C69" i="6"/>
  <c r="D66" i="6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J63" i="8"/>
  <c r="J64" i="8"/>
  <c r="J65" i="8"/>
  <c r="I7" i="8"/>
  <c r="I8" i="8"/>
  <c r="I9" i="8"/>
  <c r="I10" i="8"/>
  <c r="I11" i="8"/>
  <c r="I12" i="8"/>
  <c r="I13" i="8"/>
  <c r="I14" i="8"/>
  <c r="I15" i="8"/>
  <c r="I16" i="8"/>
  <c r="I17" i="8"/>
  <c r="I18" i="8"/>
  <c r="I19" i="8"/>
  <c r="I20" i="8"/>
  <c r="I21" i="8"/>
  <c r="I22" i="8"/>
  <c r="I23" i="8"/>
  <c r="I24" i="8"/>
  <c r="I25" i="8"/>
  <c r="I26" i="8"/>
  <c r="I27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" i="8"/>
  <c r="K6" i="8"/>
  <c r="G7" i="8" s="1"/>
  <c r="K7" i="8" s="1"/>
  <c r="G8" i="8" s="1"/>
  <c r="K8" i="8" s="1"/>
  <c r="G9" i="8" s="1"/>
  <c r="K9" i="8" s="1"/>
  <c r="G10" i="8" s="1"/>
  <c r="K10" i="8" s="1"/>
  <c r="G11" i="8" s="1"/>
  <c r="K11" i="8" s="1"/>
  <c r="G12" i="8" s="1"/>
  <c r="K12" i="8" s="1"/>
  <c r="G13" i="8" s="1"/>
  <c r="K13" i="8" s="1"/>
  <c r="G14" i="8" s="1"/>
  <c r="K14" i="8" s="1"/>
  <c r="G15" i="8" s="1"/>
  <c r="K15" i="8" s="1"/>
  <c r="G16" i="8" s="1"/>
  <c r="K16" i="8" s="1"/>
  <c r="G17" i="8" s="1"/>
  <c r="K17" i="8" s="1"/>
  <c r="G18" i="8" s="1"/>
  <c r="K18" i="8" s="1"/>
  <c r="G19" i="8" s="1"/>
  <c r="K19" i="8" s="1"/>
  <c r="G20" i="8" s="1"/>
  <c r="K20" i="8" s="1"/>
  <c r="G21" i="8" s="1"/>
  <c r="K21" i="8" s="1"/>
  <c r="G22" i="8" s="1"/>
  <c r="K22" i="8" s="1"/>
  <c r="G23" i="8" s="1"/>
  <c r="K23" i="8" s="1"/>
  <c r="G24" i="8" s="1"/>
  <c r="K24" i="8" s="1"/>
  <c r="G25" i="8" s="1"/>
  <c r="K25" i="8" s="1"/>
  <c r="G26" i="8" s="1"/>
  <c r="K26" i="8" s="1"/>
  <c r="G27" i="8" s="1"/>
  <c r="K27" i="8" s="1"/>
  <c r="G28" i="8" s="1"/>
  <c r="K28" i="8" s="1"/>
  <c r="G29" i="8" s="1"/>
  <c r="K29" i="8" s="1"/>
  <c r="G30" i="8" s="1"/>
  <c r="K30" i="8" s="1"/>
  <c r="G31" i="8" s="1"/>
  <c r="K31" i="8" s="1"/>
  <c r="G32" i="8" s="1"/>
  <c r="K32" i="8" s="1"/>
  <c r="G33" i="8" s="1"/>
  <c r="K33" i="8" s="1"/>
  <c r="G34" i="8" s="1"/>
  <c r="K34" i="8" s="1"/>
  <c r="G35" i="8" s="1"/>
  <c r="J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" i="8"/>
  <c r="G6" i="8"/>
  <c r="H66" i="6"/>
  <c r="H67" i="6"/>
  <c r="H68" i="6"/>
  <c r="H69" i="6"/>
  <c r="H70" i="6"/>
  <c r="H71" i="6"/>
  <c r="H72" i="6"/>
  <c r="H73" i="6"/>
  <c r="H74" i="6"/>
  <c r="J74" i="6" s="1"/>
  <c r="H75" i="6"/>
  <c r="H76" i="6"/>
  <c r="J76" i="6" s="1"/>
  <c r="H77" i="6"/>
  <c r="J77" i="6" s="1"/>
  <c r="H78" i="6"/>
  <c r="H79" i="6"/>
  <c r="J79" i="6" s="1"/>
  <c r="H80" i="6"/>
  <c r="J80" i="6" s="1"/>
  <c r="H81" i="6"/>
  <c r="J81" i="6" s="1"/>
  <c r="H82" i="6"/>
  <c r="H83" i="6"/>
  <c r="H84" i="6"/>
  <c r="H85" i="6"/>
  <c r="H86" i="6"/>
  <c r="H87" i="6"/>
  <c r="H88" i="6"/>
  <c r="H89" i="6"/>
  <c r="H90" i="6"/>
  <c r="H91" i="6"/>
  <c r="H92" i="6"/>
  <c r="J92" i="6" s="1"/>
  <c r="H93" i="6"/>
  <c r="J93" i="6" s="1"/>
  <c r="H94" i="6"/>
  <c r="H95" i="6"/>
  <c r="J95" i="6" s="1"/>
  <c r="H96" i="6"/>
  <c r="J96" i="6" s="1"/>
  <c r="H97" i="6"/>
  <c r="J97" i="6" s="1"/>
  <c r="H98" i="6"/>
  <c r="H99" i="6"/>
  <c r="H100" i="6"/>
  <c r="H101" i="6"/>
  <c r="H102" i="6"/>
  <c r="H103" i="6"/>
  <c r="H104" i="6"/>
  <c r="H105" i="6"/>
  <c r="J105" i="6" s="1"/>
  <c r="H106" i="6"/>
  <c r="H107" i="6"/>
  <c r="H108" i="6"/>
  <c r="H109" i="6"/>
  <c r="J109" i="6" s="1"/>
  <c r="H110" i="6"/>
  <c r="H111" i="6"/>
  <c r="J111" i="6" s="1"/>
  <c r="H112" i="6"/>
  <c r="H113" i="6"/>
  <c r="J113" i="6" s="1"/>
  <c r="H114" i="6"/>
  <c r="H115" i="6"/>
  <c r="H116" i="6"/>
  <c r="H117" i="6"/>
  <c r="H118" i="6"/>
  <c r="J118" i="6" s="1"/>
  <c r="H119" i="6"/>
  <c r="H120" i="6"/>
  <c r="H121" i="6"/>
  <c r="H122" i="6"/>
  <c r="H123" i="6"/>
  <c r="H124" i="6"/>
  <c r="G67" i="6"/>
  <c r="G66" i="6"/>
  <c r="K66" i="6"/>
  <c r="K67" i="6"/>
  <c r="G68" i="6" s="1"/>
  <c r="K68" i="6" s="1"/>
  <c r="G69" i="6" s="1"/>
  <c r="K69" i="6" s="1"/>
  <c r="G70" i="6" s="1"/>
  <c r="K70" i="6" s="1"/>
  <c r="G71" i="6" s="1"/>
  <c r="K71" i="6" s="1"/>
  <c r="G72" i="6" s="1"/>
  <c r="K72" i="6" s="1"/>
  <c r="G73" i="6" s="1"/>
  <c r="K73" i="6" s="1"/>
  <c r="G74" i="6" s="1"/>
  <c r="K74" i="6" s="1"/>
  <c r="G75" i="6" s="1"/>
  <c r="K75" i="6" s="1"/>
  <c r="G76" i="6" s="1"/>
  <c r="K76" i="6" s="1"/>
  <c r="G77" i="6" s="1"/>
  <c r="K77" i="6" s="1"/>
  <c r="G78" i="6" s="1"/>
  <c r="K78" i="6" s="1"/>
  <c r="G79" i="6" s="1"/>
  <c r="K79" i="6" s="1"/>
  <c r="G80" i="6" s="1"/>
  <c r="K80" i="6" s="1"/>
  <c r="G81" i="6" s="1"/>
  <c r="K81" i="6" s="1"/>
  <c r="G82" i="6" s="1"/>
  <c r="K82" i="6" s="1"/>
  <c r="G83" i="6" s="1"/>
  <c r="K83" i="6" s="1"/>
  <c r="G84" i="6" s="1"/>
  <c r="K84" i="6" s="1"/>
  <c r="G85" i="6" s="1"/>
  <c r="K85" i="6" s="1"/>
  <c r="G86" i="6" s="1"/>
  <c r="K86" i="6" s="1"/>
  <c r="G87" i="6" s="1"/>
  <c r="K87" i="6" s="1"/>
  <c r="G88" i="6" s="1"/>
  <c r="K88" i="6" s="1"/>
  <c r="G89" i="6" s="1"/>
  <c r="K89" i="6" s="1"/>
  <c r="G90" i="6" s="1"/>
  <c r="K90" i="6" s="1"/>
  <c r="G91" i="6" s="1"/>
  <c r="K91" i="6" s="1"/>
  <c r="G92" i="6" s="1"/>
  <c r="K92" i="6" s="1"/>
  <c r="G93" i="6" s="1"/>
  <c r="K93" i="6" s="1"/>
  <c r="G94" i="6" s="1"/>
  <c r="K94" i="6" s="1"/>
  <c r="G95" i="6" s="1"/>
  <c r="K95" i="6" s="1"/>
  <c r="G96" i="6" s="1"/>
  <c r="K96" i="6" s="1"/>
  <c r="G97" i="6" s="1"/>
  <c r="K97" i="6" s="1"/>
  <c r="G98" i="6" s="1"/>
  <c r="K98" i="6" s="1"/>
  <c r="G99" i="6" s="1"/>
  <c r="K99" i="6" s="1"/>
  <c r="G100" i="6" s="1"/>
  <c r="K100" i="6" s="1"/>
  <c r="G101" i="6" s="1"/>
  <c r="K101" i="6" s="1"/>
  <c r="G102" i="6" s="1"/>
  <c r="K102" i="6" s="1"/>
  <c r="G103" i="6" s="1"/>
  <c r="K103" i="6" s="1"/>
  <c r="G104" i="6" s="1"/>
  <c r="K104" i="6" s="1"/>
  <c r="G105" i="6" s="1"/>
  <c r="K105" i="6" s="1"/>
  <c r="G106" i="6" s="1"/>
  <c r="K106" i="6" s="1"/>
  <c r="G107" i="6" s="1"/>
  <c r="K107" i="6" s="1"/>
  <c r="G108" i="6" s="1"/>
  <c r="K108" i="6" s="1"/>
  <c r="G109" i="6" s="1"/>
  <c r="K109" i="6" s="1"/>
  <c r="G110" i="6" s="1"/>
  <c r="K110" i="6" s="1"/>
  <c r="G111" i="6" s="1"/>
  <c r="K111" i="6" s="1"/>
  <c r="G112" i="6" s="1"/>
  <c r="K112" i="6" s="1"/>
  <c r="G113" i="6" s="1"/>
  <c r="K113" i="6" s="1"/>
  <c r="G114" i="6" s="1"/>
  <c r="K114" i="6" s="1"/>
  <c r="G115" i="6" s="1"/>
  <c r="K115" i="6" s="1"/>
  <c r="G116" i="6" s="1"/>
  <c r="K116" i="6" s="1"/>
  <c r="G117" i="6" s="1"/>
  <c r="K117" i="6" s="1"/>
  <c r="G118" i="6" s="1"/>
  <c r="K118" i="6" s="1"/>
  <c r="G119" i="6" s="1"/>
  <c r="K119" i="6" s="1"/>
  <c r="G120" i="6" s="1"/>
  <c r="K120" i="6" s="1"/>
  <c r="G121" i="6" s="1"/>
  <c r="K121" i="6" s="1"/>
  <c r="G122" i="6" s="1"/>
  <c r="K122" i="6" s="1"/>
  <c r="G123" i="6" s="1"/>
  <c r="K123" i="6" s="1"/>
  <c r="G124" i="6" s="1"/>
  <c r="K124" i="6" s="1"/>
  <c r="K65" i="6"/>
  <c r="J66" i="6"/>
  <c r="J67" i="6"/>
  <c r="J68" i="6"/>
  <c r="J69" i="6"/>
  <c r="J70" i="6"/>
  <c r="J71" i="6"/>
  <c r="J72" i="6"/>
  <c r="J73" i="6"/>
  <c r="J75" i="6"/>
  <c r="J78" i="6"/>
  <c r="J82" i="6"/>
  <c r="J83" i="6"/>
  <c r="J84" i="6"/>
  <c r="J85" i="6"/>
  <c r="J86" i="6"/>
  <c r="J87" i="6"/>
  <c r="J88" i="6"/>
  <c r="J89" i="6"/>
  <c r="J90" i="6"/>
  <c r="J91" i="6"/>
  <c r="J94" i="6"/>
  <c r="J98" i="6"/>
  <c r="J99" i="6"/>
  <c r="J100" i="6"/>
  <c r="J101" i="6"/>
  <c r="J102" i="6"/>
  <c r="J103" i="6"/>
  <c r="J104" i="6"/>
  <c r="J106" i="6"/>
  <c r="J107" i="6"/>
  <c r="J108" i="6"/>
  <c r="J110" i="6"/>
  <c r="J112" i="6"/>
  <c r="J114" i="6"/>
  <c r="J115" i="6"/>
  <c r="J116" i="6"/>
  <c r="J117" i="6"/>
  <c r="J119" i="6"/>
  <c r="J120" i="6"/>
  <c r="J121" i="6"/>
  <c r="J122" i="6"/>
  <c r="J123" i="6"/>
  <c r="J124" i="6"/>
  <c r="J65" i="6"/>
  <c r="H65" i="6"/>
  <c r="G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65" i="6"/>
  <c r="I56" i="6"/>
  <c r="J48" i="6"/>
  <c r="J49" i="6"/>
  <c r="J50" i="6"/>
  <c r="J51" i="6"/>
  <c r="J52" i="6"/>
  <c r="J53" i="6"/>
  <c r="J54" i="6"/>
  <c r="J55" i="6"/>
  <c r="J56" i="6"/>
  <c r="H48" i="6"/>
  <c r="G48" i="6"/>
  <c r="K48" i="6" s="1"/>
  <c r="G49" i="6" s="1"/>
  <c r="K47" i="6"/>
  <c r="J47" i="6"/>
  <c r="H47" i="6"/>
  <c r="G47" i="6"/>
  <c r="H41" i="6"/>
  <c r="H40" i="6"/>
  <c r="I40" i="6"/>
  <c r="I38" i="6"/>
  <c r="H23" i="6"/>
  <c r="H22" i="6"/>
  <c r="I22" i="6" s="1"/>
  <c r="K22" i="6" s="1"/>
  <c r="G23" i="6" s="1"/>
  <c r="I23" i="6" s="1"/>
  <c r="G22" i="6"/>
  <c r="J22" i="6"/>
  <c r="J23" i="6"/>
  <c r="J24" i="6"/>
  <c r="J25" i="6"/>
  <c r="J26" i="6"/>
  <c r="J27" i="6"/>
  <c r="J28" i="6"/>
  <c r="J29" i="6"/>
  <c r="J30" i="6"/>
  <c r="K21" i="6"/>
  <c r="I21" i="6"/>
  <c r="G21" i="6"/>
  <c r="D20" i="6"/>
  <c r="H21" i="6"/>
  <c r="J21" i="6"/>
  <c r="D21" i="6"/>
  <c r="H7" i="6"/>
  <c r="H8" i="6"/>
  <c r="H9" i="6"/>
  <c r="H10" i="6"/>
  <c r="H11" i="6"/>
  <c r="H12" i="6"/>
  <c r="H13" i="6"/>
  <c r="H14" i="6"/>
  <c r="H15" i="6"/>
  <c r="I7" i="6"/>
  <c r="I8" i="6"/>
  <c r="I9" i="6"/>
  <c r="I10" i="6"/>
  <c r="I11" i="6"/>
  <c r="I12" i="6"/>
  <c r="I13" i="6"/>
  <c r="I14" i="6"/>
  <c r="I15" i="6"/>
  <c r="K7" i="6"/>
  <c r="G8" i="6" s="1"/>
  <c r="K8" i="6" s="1"/>
  <c r="G9" i="6" s="1"/>
  <c r="K9" i="6" s="1"/>
  <c r="G10" i="6" s="1"/>
  <c r="K10" i="6" s="1"/>
  <c r="G11" i="6" s="1"/>
  <c r="K11" i="6" s="1"/>
  <c r="G12" i="6" s="1"/>
  <c r="K12" i="6" s="1"/>
  <c r="G13" i="6" s="1"/>
  <c r="K13" i="6" s="1"/>
  <c r="G14" i="6" s="1"/>
  <c r="K14" i="6" s="1"/>
  <c r="G15" i="6" s="1"/>
  <c r="K15" i="6" s="1"/>
  <c r="G7" i="6"/>
  <c r="J7" i="6"/>
  <c r="J8" i="6"/>
  <c r="J9" i="6"/>
  <c r="J10" i="6"/>
  <c r="J11" i="6"/>
  <c r="J12" i="6"/>
  <c r="J13" i="6"/>
  <c r="J14" i="6"/>
  <c r="J15" i="6"/>
  <c r="J6" i="6"/>
  <c r="I6" i="6"/>
  <c r="H6" i="6"/>
  <c r="G6" i="6"/>
  <c r="C8" i="6"/>
  <c r="B5" i="6"/>
  <c r="C9" i="6" s="1"/>
  <c r="H7" i="5"/>
  <c r="H6" i="5"/>
  <c r="I6" i="5"/>
  <c r="K6" i="5" s="1"/>
  <c r="G7" i="5" s="1"/>
  <c r="G6" i="5"/>
  <c r="J7" i="5"/>
  <c r="J8" i="5"/>
  <c r="J9" i="5"/>
  <c r="J10" i="5"/>
  <c r="J11" i="5"/>
  <c r="J12" i="5"/>
  <c r="J13" i="5"/>
  <c r="J14" i="5"/>
  <c r="J15" i="5"/>
  <c r="J6" i="5"/>
  <c r="C8" i="5"/>
  <c r="C9" i="5"/>
  <c r="B5" i="5"/>
  <c r="G1003" i="10" l="1"/>
  <c r="H1003" i="10"/>
  <c r="K1003" i="10" s="1"/>
  <c r="H123" i="10"/>
  <c r="G533" i="10"/>
  <c r="G962" i="10"/>
  <c r="H962" i="10"/>
  <c r="G873" i="10"/>
  <c r="H873" i="10"/>
  <c r="H191" i="10"/>
  <c r="G696" i="10"/>
  <c r="H696" i="10"/>
  <c r="K696" i="10" s="1"/>
  <c r="H414" i="10"/>
  <c r="H817" i="10"/>
  <c r="H689" i="10"/>
  <c r="G870" i="10"/>
  <c r="G6" i="10"/>
  <c r="H625" i="10"/>
  <c r="H701" i="10"/>
  <c r="H395" i="10"/>
  <c r="H724" i="10"/>
  <c r="H153" i="10"/>
  <c r="H72" i="10"/>
  <c r="H628" i="10"/>
  <c r="H736" i="10"/>
  <c r="K736" i="10" s="1"/>
  <c r="G736" i="10"/>
  <c r="H761" i="10"/>
  <c r="H821" i="10"/>
  <c r="H871" i="10"/>
  <c r="H695" i="10"/>
  <c r="I696" i="10" s="1"/>
  <c r="G829" i="10"/>
  <c r="H829" i="10"/>
  <c r="G963" i="10"/>
  <c r="H963" i="10"/>
  <c r="H657" i="10"/>
  <c r="K657" i="10" s="1"/>
  <c r="G657" i="10"/>
  <c r="G565" i="10"/>
  <c r="H565" i="10"/>
  <c r="I832" i="10"/>
  <c r="K832" i="10"/>
  <c r="G288" i="10"/>
  <c r="H288" i="10"/>
  <c r="H231" i="10"/>
  <c r="G231" i="10"/>
  <c r="G700" i="10"/>
  <c r="H700" i="10"/>
  <c r="G162" i="10"/>
  <c r="H162" i="10"/>
  <c r="G715" i="10"/>
  <c r="H715" i="10"/>
  <c r="G826" i="10"/>
  <c r="H826" i="10"/>
  <c r="G296" i="10"/>
  <c r="H296" i="10"/>
  <c r="G381" i="10"/>
  <c r="H381" i="10"/>
  <c r="G545" i="10"/>
  <c r="H545" i="10"/>
  <c r="I204" i="10"/>
  <c r="K204" i="10"/>
  <c r="G713" i="10"/>
  <c r="H713" i="10"/>
  <c r="K446" i="10"/>
  <c r="I576" i="10"/>
  <c r="K576" i="10"/>
  <c r="I727" i="10"/>
  <c r="K727" i="10"/>
  <c r="K809" i="10"/>
  <c r="K190" i="10"/>
  <c r="I425" i="10"/>
  <c r="K425" i="10"/>
  <c r="K663" i="10"/>
  <c r="I663" i="10"/>
  <c r="K159" i="10"/>
  <c r="I159" i="10"/>
  <c r="I871" i="10"/>
  <c r="K871" i="10"/>
  <c r="I532" i="10"/>
  <c r="K532" i="10"/>
  <c r="K743" i="10"/>
  <c r="I743" i="10"/>
  <c r="I428" i="10"/>
  <c r="K428" i="10"/>
  <c r="K343" i="10"/>
  <c r="I343" i="10"/>
  <c r="I958" i="10"/>
  <c r="K958" i="10"/>
  <c r="G956" i="10"/>
  <c r="H956" i="10"/>
  <c r="H435" i="10"/>
  <c r="G435" i="10"/>
  <c r="G417" i="10"/>
  <c r="H417" i="10"/>
  <c r="G280" i="10"/>
  <c r="H280" i="10"/>
  <c r="G569" i="10"/>
  <c r="H569" i="10"/>
  <c r="G21" i="10"/>
  <c r="H21" i="10"/>
  <c r="G125" i="10"/>
  <c r="H125" i="10"/>
  <c r="K524" i="10"/>
  <c r="I978" i="10"/>
  <c r="K978" i="10"/>
  <c r="K881" i="10"/>
  <c r="G324" i="10"/>
  <c r="H324" i="10"/>
  <c r="G222" i="10"/>
  <c r="H222" i="10"/>
  <c r="K358" i="10"/>
  <c r="I358" i="10"/>
  <c r="K327" i="10"/>
  <c r="I327" i="10"/>
  <c r="I800" i="10"/>
  <c r="K800" i="10"/>
  <c r="I328" i="10"/>
  <c r="K328" i="10"/>
  <c r="K749" i="10"/>
  <c r="I406" i="10"/>
  <c r="K406" i="10"/>
  <c r="K203" i="10"/>
  <c r="G124" i="10"/>
  <c r="H124" i="10"/>
  <c r="H611" i="10"/>
  <c r="G611" i="10"/>
  <c r="G914" i="10"/>
  <c r="H914" i="10"/>
  <c r="H612" i="10"/>
  <c r="G612" i="10"/>
  <c r="K342" i="10"/>
  <c r="I342" i="10"/>
  <c r="I888" i="10"/>
  <c r="K888" i="10"/>
  <c r="H787" i="10"/>
  <c r="G787" i="10"/>
  <c r="I648" i="10"/>
  <c r="K648" i="10"/>
  <c r="G322" i="10"/>
  <c r="H322" i="10"/>
  <c r="G711" i="10"/>
  <c r="H711" i="10"/>
  <c r="G236" i="10"/>
  <c r="H236" i="10"/>
  <c r="G287" i="10"/>
  <c r="H287" i="10"/>
  <c r="H10" i="10"/>
  <c r="G10" i="10"/>
  <c r="G132" i="10"/>
  <c r="H132" i="10"/>
  <c r="G370" i="10"/>
  <c r="H370" i="10"/>
  <c r="H97" i="10"/>
  <c r="G97" i="10"/>
  <c r="G420" i="10"/>
  <c r="H420" i="10"/>
  <c r="G147" i="10"/>
  <c r="H147" i="10"/>
  <c r="G487" i="10"/>
  <c r="H487" i="10"/>
  <c r="G214" i="10"/>
  <c r="H214" i="10"/>
  <c r="H940" i="10"/>
  <c r="G940" i="10"/>
  <c r="G684" i="10"/>
  <c r="H684" i="10"/>
  <c r="G418" i="10"/>
  <c r="H418" i="10"/>
  <c r="G145" i="10"/>
  <c r="H145" i="10"/>
  <c r="G383" i="10"/>
  <c r="H383" i="10"/>
  <c r="H699" i="10"/>
  <c r="G699" i="10"/>
  <c r="G246" i="10"/>
  <c r="H246" i="10"/>
  <c r="G810" i="10"/>
  <c r="H810" i="10"/>
  <c r="I811" i="10" s="1"/>
  <c r="G552" i="10"/>
  <c r="H552" i="10"/>
  <c r="G279" i="10"/>
  <c r="H279" i="10"/>
  <c r="G47" i="10"/>
  <c r="H47" i="10"/>
  <c r="G365" i="10"/>
  <c r="H365" i="10"/>
  <c r="G109" i="10"/>
  <c r="H109" i="10"/>
  <c r="G55" i="10"/>
  <c r="H55" i="10"/>
  <c r="G567" i="10"/>
  <c r="H567" i="10"/>
  <c r="K887" i="10"/>
  <c r="I887" i="10"/>
  <c r="K423" i="10"/>
  <c r="I423" i="10"/>
  <c r="G356" i="10"/>
  <c r="H356" i="10"/>
  <c r="G735" i="10"/>
  <c r="H735" i="10"/>
  <c r="K901" i="10"/>
  <c r="I901" i="10"/>
  <c r="I798" i="10"/>
  <c r="K798" i="10"/>
  <c r="I629" i="10"/>
  <c r="K629" i="10"/>
  <c r="H257" i="10"/>
  <c r="G257" i="10"/>
  <c r="I937" i="10"/>
  <c r="K937" i="10"/>
  <c r="I511" i="10"/>
  <c r="K511" i="10"/>
  <c r="I793" i="10"/>
  <c r="K793" i="10"/>
  <c r="I1000" i="10"/>
  <c r="K1000" i="10"/>
  <c r="I577" i="10"/>
  <c r="K577" i="10"/>
  <c r="I738" i="10"/>
  <c r="K738" i="10"/>
  <c r="I864" i="10"/>
  <c r="K864" i="10"/>
  <c r="I578" i="10"/>
  <c r="K578" i="10"/>
  <c r="I833" i="10"/>
  <c r="K833" i="10"/>
  <c r="I476" i="10"/>
  <c r="K476" i="10"/>
  <c r="I816" i="10"/>
  <c r="K816" i="10"/>
  <c r="I424" i="10"/>
  <c r="K424" i="10"/>
  <c r="I155" i="10"/>
  <c r="K155" i="10"/>
  <c r="I911" i="10"/>
  <c r="K911" i="10"/>
  <c r="I273" i="10"/>
  <c r="K273" i="10"/>
  <c r="I628" i="10"/>
  <c r="K628" i="10"/>
  <c r="H28" i="10"/>
  <c r="G28" i="10"/>
  <c r="G932" i="10"/>
  <c r="H932" i="10"/>
  <c r="G270" i="10"/>
  <c r="H270" i="10"/>
  <c r="G924" i="10"/>
  <c r="H924" i="10"/>
  <c r="G349" i="10"/>
  <c r="H349" i="10"/>
  <c r="I760" i="10"/>
  <c r="K760" i="10"/>
  <c r="I561" i="10"/>
  <c r="K561" i="10"/>
  <c r="K294" i="10"/>
  <c r="G207" i="10"/>
  <c r="H207" i="10"/>
  <c r="H649" i="10"/>
  <c r="G649" i="10"/>
  <c r="H950" i="10"/>
  <c r="G950" i="10"/>
  <c r="G672" i="10"/>
  <c r="H672" i="10"/>
  <c r="I921" i="10"/>
  <c r="K921" i="10"/>
  <c r="I726" i="10"/>
  <c r="K726" i="10"/>
  <c r="I965" i="10"/>
  <c r="K965" i="10"/>
  <c r="G861" i="10"/>
  <c r="H861" i="10"/>
  <c r="G378" i="10"/>
  <c r="H378" i="10"/>
  <c r="G752" i="10"/>
  <c r="H752" i="10"/>
  <c r="G202" i="10"/>
  <c r="H202" i="10"/>
  <c r="I203" i="10" s="1"/>
  <c r="G252" i="10"/>
  <c r="H252" i="10"/>
  <c r="G371" i="10"/>
  <c r="H371" i="10"/>
  <c r="G98" i="10"/>
  <c r="H98" i="10"/>
  <c r="G336" i="10"/>
  <c r="H336" i="10"/>
  <c r="G63" i="10"/>
  <c r="H63" i="10"/>
  <c r="G386" i="10"/>
  <c r="H386" i="10"/>
  <c r="H113" i="10"/>
  <c r="G113" i="10"/>
  <c r="G453" i="10"/>
  <c r="H453" i="10"/>
  <c r="G180" i="10"/>
  <c r="H180" i="10"/>
  <c r="G908" i="10"/>
  <c r="H908" i="10"/>
  <c r="G652" i="10"/>
  <c r="H652" i="10"/>
  <c r="G384" i="10"/>
  <c r="H384" i="10"/>
  <c r="G111" i="10"/>
  <c r="H111" i="10"/>
  <c r="G314" i="10"/>
  <c r="H314" i="10"/>
  <c r="G635" i="10"/>
  <c r="H635" i="10"/>
  <c r="G178" i="10"/>
  <c r="H178" i="10"/>
  <c r="G778" i="10"/>
  <c r="H778" i="10"/>
  <c r="G518" i="10"/>
  <c r="H518" i="10"/>
  <c r="G245" i="10"/>
  <c r="H245" i="10"/>
  <c r="G15" i="10"/>
  <c r="H15" i="10"/>
  <c r="G333" i="10"/>
  <c r="H333" i="10"/>
  <c r="G77" i="10"/>
  <c r="H77" i="10"/>
  <c r="G137" i="10"/>
  <c r="H137" i="10"/>
  <c r="H614" i="10"/>
  <c r="G614" i="10"/>
  <c r="K791" i="10"/>
  <c r="G411" i="10"/>
  <c r="H411" i="10"/>
  <c r="G772" i="10"/>
  <c r="H772" i="10"/>
  <c r="I993" i="10"/>
  <c r="K993" i="10"/>
  <c r="I627" i="10"/>
  <c r="K627" i="10"/>
  <c r="K325" i="10"/>
  <c r="I325" i="10"/>
  <c r="I718" i="10"/>
  <c r="K718" i="10"/>
  <c r="I309" i="10"/>
  <c r="K309" i="10"/>
  <c r="I905" i="10"/>
  <c r="K905" i="10"/>
  <c r="I533" i="10"/>
  <c r="K533" i="10"/>
  <c r="I945" i="10"/>
  <c r="K945" i="10"/>
  <c r="K606" i="10"/>
  <c r="I154" i="10"/>
  <c r="K154" i="10"/>
  <c r="I448" i="10"/>
  <c r="K448" i="10"/>
  <c r="I662" i="10"/>
  <c r="K662" i="10"/>
  <c r="I857" i="10"/>
  <c r="K857" i="10"/>
  <c r="I999" i="10"/>
  <c r="K999" i="10"/>
  <c r="K307" i="10"/>
  <c r="I307" i="10"/>
  <c r="I560" i="10"/>
  <c r="K560" i="10"/>
  <c r="K756" i="10"/>
  <c r="I756" i="10"/>
  <c r="I240" i="10"/>
  <c r="K240" i="10"/>
  <c r="G149" i="10"/>
  <c r="H149" i="10"/>
  <c r="G630" i="10"/>
  <c r="H630" i="10"/>
  <c r="G388" i="10"/>
  <c r="H388" i="10"/>
  <c r="G668" i="10"/>
  <c r="H668" i="10"/>
  <c r="G101" i="10"/>
  <c r="H101" i="10"/>
  <c r="H291" i="10"/>
  <c r="G291" i="10"/>
  <c r="I359" i="10"/>
  <c r="K359" i="10"/>
  <c r="K118" i="10"/>
  <c r="K763" i="10"/>
  <c r="G243" i="10"/>
  <c r="H243" i="10"/>
  <c r="G671" i="10"/>
  <c r="H671" i="10"/>
  <c r="G968" i="10"/>
  <c r="H968" i="10"/>
  <c r="G710" i="10"/>
  <c r="H710" i="10"/>
  <c r="K547" i="10"/>
  <c r="G14" i="10"/>
  <c r="H14" i="10"/>
  <c r="H897" i="10"/>
  <c r="G897" i="10"/>
  <c r="I396" i="10"/>
  <c r="K396" i="10"/>
  <c r="G409" i="10"/>
  <c r="H409" i="10"/>
  <c r="G770" i="10"/>
  <c r="H770" i="10"/>
  <c r="G185" i="10"/>
  <c r="H185" i="10"/>
  <c r="G235" i="10"/>
  <c r="H235" i="10"/>
  <c r="G354" i="10"/>
  <c r="H354" i="10"/>
  <c r="H81" i="10"/>
  <c r="G81" i="10"/>
  <c r="G319" i="10"/>
  <c r="H319" i="10"/>
  <c r="G44" i="10"/>
  <c r="H44" i="10"/>
  <c r="G369" i="10"/>
  <c r="H369" i="10"/>
  <c r="G96" i="10"/>
  <c r="H96" i="10"/>
  <c r="G436" i="10"/>
  <c r="H436" i="10"/>
  <c r="G163" i="10"/>
  <c r="H163" i="10"/>
  <c r="G892" i="10"/>
  <c r="H892" i="10"/>
  <c r="G636" i="10"/>
  <c r="H636" i="10"/>
  <c r="G367" i="10"/>
  <c r="H367" i="10"/>
  <c r="G94" i="10"/>
  <c r="H94" i="10"/>
  <c r="G263" i="10"/>
  <c r="H263" i="10"/>
  <c r="G603" i="10"/>
  <c r="H603" i="10"/>
  <c r="G58" i="10"/>
  <c r="H58" i="10"/>
  <c r="G762" i="10"/>
  <c r="H762" i="10"/>
  <c r="G501" i="10"/>
  <c r="H501" i="10"/>
  <c r="G228" i="10"/>
  <c r="H228" i="10"/>
  <c r="G573" i="10"/>
  <c r="H573" i="10"/>
  <c r="G317" i="10"/>
  <c r="H317" i="10"/>
  <c r="G61" i="10"/>
  <c r="H61" i="10"/>
  <c r="I976" i="10"/>
  <c r="K976" i="10"/>
  <c r="G174" i="10"/>
  <c r="H174" i="10"/>
  <c r="G633" i="10"/>
  <c r="H633" i="10"/>
  <c r="K991" i="10"/>
  <c r="I848" i="10"/>
  <c r="K848" i="10"/>
  <c r="H441" i="10"/>
  <c r="G441" i="10"/>
  <c r="G790" i="10"/>
  <c r="H790" i="10"/>
  <c r="I791" i="10" s="1"/>
  <c r="K877" i="10"/>
  <c r="I943" i="10"/>
  <c r="K943" i="10"/>
  <c r="K414" i="10"/>
  <c r="I617" i="10"/>
  <c r="K617" i="10"/>
  <c r="K466" i="10"/>
  <c r="I391" i="10"/>
  <c r="K391" i="10"/>
  <c r="K621" i="10"/>
  <c r="K837" i="10"/>
  <c r="I837" i="10"/>
  <c r="I985" i="10"/>
  <c r="K985" i="10"/>
  <c r="I392" i="10"/>
  <c r="K392" i="10"/>
  <c r="I622" i="10"/>
  <c r="K622" i="10"/>
  <c r="K836" i="10"/>
  <c r="I836" i="10"/>
  <c r="K676" i="10"/>
  <c r="K261" i="10"/>
  <c r="I261" i="10"/>
  <c r="I529" i="10"/>
  <c r="K529" i="10"/>
  <c r="I427" i="10"/>
  <c r="K427" i="10"/>
  <c r="K1005" i="10"/>
  <c r="K238" i="10"/>
  <c r="I479" i="10"/>
  <c r="K479" i="10"/>
  <c r="I704" i="10"/>
  <c r="K704" i="10"/>
  <c r="K37" i="10"/>
  <c r="I37" i="10"/>
  <c r="K340" i="10"/>
  <c r="I340" i="10"/>
  <c r="I582" i="10"/>
  <c r="K582" i="10"/>
  <c r="I872" i="10"/>
  <c r="K872" i="10"/>
  <c r="G304" i="10"/>
  <c r="H304" i="10"/>
  <c r="G631" i="10"/>
  <c r="H631" i="10"/>
  <c r="H733" i="10"/>
  <c r="G733" i="10"/>
  <c r="H197" i="10"/>
  <c r="G197" i="10"/>
  <c r="G31" i="10"/>
  <c r="H31" i="10"/>
  <c r="I647" i="10"/>
  <c r="K647" i="10"/>
  <c r="K917" i="10"/>
  <c r="K597" i="10"/>
  <c r="I597" i="10"/>
  <c r="I226" i="10"/>
  <c r="K226" i="10"/>
  <c r="I960" i="10"/>
  <c r="K960" i="10"/>
  <c r="G690" i="10"/>
  <c r="H690" i="10"/>
  <c r="K638" i="10"/>
  <c r="K540" i="10"/>
  <c r="H53" i="10"/>
  <c r="G53" i="10"/>
  <c r="G933" i="10"/>
  <c r="H933" i="10"/>
  <c r="I870" i="10"/>
  <c r="K870" i="10"/>
  <c r="K775" i="10"/>
  <c r="I775" i="10"/>
  <c r="H439" i="10"/>
  <c r="G439" i="10"/>
  <c r="H788" i="10"/>
  <c r="G788" i="10"/>
  <c r="G168" i="10"/>
  <c r="H168" i="10"/>
  <c r="G218" i="10"/>
  <c r="H218" i="10"/>
  <c r="G337" i="10"/>
  <c r="H337" i="10"/>
  <c r="G64" i="10"/>
  <c r="H64" i="10"/>
  <c r="G302" i="10"/>
  <c r="H302" i="10"/>
  <c r="G26" i="10"/>
  <c r="H26" i="10"/>
  <c r="G352" i="10"/>
  <c r="H352" i="10"/>
  <c r="G79" i="10"/>
  <c r="H79" i="10"/>
  <c r="H419" i="10"/>
  <c r="G419" i="10"/>
  <c r="H146" i="10"/>
  <c r="G146" i="10"/>
  <c r="H876" i="10"/>
  <c r="G876" i="10"/>
  <c r="G620" i="10"/>
  <c r="H620" i="10"/>
  <c r="G350" i="10"/>
  <c r="H350" i="10"/>
  <c r="G76" i="10"/>
  <c r="H76" i="10"/>
  <c r="G229" i="10"/>
  <c r="H229" i="10"/>
  <c r="G570" i="10"/>
  <c r="H570" i="10"/>
  <c r="G1002" i="10"/>
  <c r="H1002" i="10"/>
  <c r="G746" i="10"/>
  <c r="H746" i="10"/>
  <c r="G484" i="10"/>
  <c r="H484" i="10"/>
  <c r="G211" i="10"/>
  <c r="H211" i="10"/>
  <c r="G557" i="10"/>
  <c r="H557" i="10"/>
  <c r="G301" i="10"/>
  <c r="H301" i="10"/>
  <c r="G45" i="10"/>
  <c r="H45" i="10"/>
  <c r="I966" i="10"/>
  <c r="K966" i="10"/>
  <c r="G210" i="10"/>
  <c r="H210" i="10"/>
  <c r="G655" i="10"/>
  <c r="H655" i="10"/>
  <c r="I801" i="10"/>
  <c r="K801" i="10"/>
  <c r="K891" i="10"/>
  <c r="G465" i="10"/>
  <c r="H465" i="10"/>
  <c r="I466" i="10" s="1"/>
  <c r="G808" i="10"/>
  <c r="H808" i="10"/>
  <c r="K677" i="10"/>
  <c r="I677" i="10"/>
  <c r="I783" i="10"/>
  <c r="K783" i="10"/>
  <c r="I444" i="10"/>
  <c r="K444" i="10"/>
  <c r="I357" i="10"/>
  <c r="K357" i="10"/>
  <c r="I912" i="10"/>
  <c r="K912" i="10"/>
  <c r="I981" i="10"/>
  <c r="K981" i="10"/>
  <c r="K893" i="10"/>
  <c r="I854" i="10"/>
  <c r="K854" i="10"/>
  <c r="K885" i="10"/>
  <c r="I885" i="10"/>
  <c r="H33" i="10"/>
  <c r="G33" i="10"/>
  <c r="I865" i="10"/>
  <c r="K865" i="10"/>
  <c r="K191" i="10"/>
  <c r="I191" i="10"/>
  <c r="K478" i="10"/>
  <c r="K741" i="10"/>
  <c r="I741" i="10"/>
  <c r="I608" i="10"/>
  <c r="K608" i="10"/>
  <c r="I707" i="10"/>
  <c r="K707" i="10"/>
  <c r="I782" i="10"/>
  <c r="K782" i="10"/>
  <c r="I784" i="10"/>
  <c r="K784" i="10"/>
  <c r="K923" i="10"/>
  <c r="I274" i="10"/>
  <c r="K274" i="10"/>
  <c r="G692" i="10"/>
  <c r="H692" i="10"/>
  <c r="I927" i="10"/>
  <c r="K927" i="10"/>
  <c r="G130" i="10"/>
  <c r="H130" i="10"/>
  <c r="G535" i="10"/>
  <c r="H535" i="10"/>
  <c r="H594" i="10"/>
  <c r="G594" i="10"/>
  <c r="I390" i="10"/>
  <c r="K390" i="10"/>
  <c r="K500" i="10"/>
  <c r="I500" i="10"/>
  <c r="G311" i="10"/>
  <c r="H311" i="10"/>
  <c r="I169" i="10"/>
  <c r="K169" i="10"/>
  <c r="K969" i="10"/>
  <c r="G806" i="10"/>
  <c r="H806" i="10"/>
  <c r="G151" i="10"/>
  <c r="H151" i="10"/>
  <c r="G201" i="10"/>
  <c r="H201" i="10"/>
  <c r="G320" i="10"/>
  <c r="H320" i="10"/>
  <c r="H46" i="10"/>
  <c r="G46" i="10"/>
  <c r="G284" i="10"/>
  <c r="H284" i="10"/>
  <c r="G8" i="10"/>
  <c r="H8" i="10"/>
  <c r="G335" i="10"/>
  <c r="H335" i="10"/>
  <c r="G62" i="10"/>
  <c r="H62" i="10"/>
  <c r="G402" i="10"/>
  <c r="H402" i="10"/>
  <c r="H129" i="10"/>
  <c r="G129" i="10"/>
  <c r="G860" i="10"/>
  <c r="H860" i="10"/>
  <c r="G604" i="10"/>
  <c r="H604" i="10"/>
  <c r="G332" i="10"/>
  <c r="H332" i="10"/>
  <c r="G59" i="10"/>
  <c r="H59" i="10"/>
  <c r="G195" i="10"/>
  <c r="H195" i="10"/>
  <c r="G553" i="10"/>
  <c r="H553" i="10"/>
  <c r="G986" i="10"/>
  <c r="H986" i="10"/>
  <c r="G730" i="10"/>
  <c r="H730" i="10"/>
  <c r="H467" i="10"/>
  <c r="G467" i="10"/>
  <c r="G194" i="10"/>
  <c r="H194" i="10"/>
  <c r="G541" i="10"/>
  <c r="H541" i="10"/>
  <c r="G285" i="10"/>
  <c r="H285" i="10"/>
  <c r="G29" i="10"/>
  <c r="H29" i="10"/>
  <c r="I276" i="10"/>
  <c r="K276" i="10"/>
  <c r="G255" i="10"/>
  <c r="H255" i="10"/>
  <c r="G674" i="10"/>
  <c r="H674" i="10"/>
  <c r="I992" i="10"/>
  <c r="K992" i="10"/>
  <c r="I941" i="10"/>
  <c r="K941" i="10"/>
  <c r="G495" i="10"/>
  <c r="H495" i="10"/>
  <c r="G827" i="10"/>
  <c r="H827" i="10"/>
  <c r="I585" i="10"/>
  <c r="K585" i="10"/>
  <c r="K939" i="10"/>
  <c r="G20" i="10"/>
  <c r="H20" i="10"/>
  <c r="I443" i="10"/>
  <c r="K443" i="10"/>
  <c r="I658" i="10"/>
  <c r="K658" i="10"/>
  <c r="I669" i="10"/>
  <c r="K669" i="10"/>
  <c r="I944" i="10"/>
  <c r="K944" i="10"/>
  <c r="I415" i="10"/>
  <c r="K415" i="10"/>
  <c r="I640" i="10"/>
  <c r="K640" i="10"/>
  <c r="I776" i="10"/>
  <c r="K776" i="10"/>
  <c r="I374" i="10"/>
  <c r="K374" i="10"/>
  <c r="H70" i="10"/>
  <c r="G70" i="10"/>
  <c r="K422" i="10"/>
  <c r="I641" i="10"/>
  <c r="K641" i="10"/>
  <c r="I481" i="10"/>
  <c r="K481" i="10"/>
  <c r="I946" i="10"/>
  <c r="K946" i="10"/>
  <c r="I295" i="10"/>
  <c r="K295" i="10"/>
  <c r="I551" i="10"/>
  <c r="K551" i="10"/>
  <c r="K496" i="10"/>
  <c r="I869" i="10"/>
  <c r="K869" i="10"/>
  <c r="I272" i="10"/>
  <c r="K272" i="10"/>
  <c r="I508" i="10"/>
  <c r="K508" i="10"/>
  <c r="K948" i="10"/>
  <c r="I948" i="10"/>
  <c r="K84" i="10"/>
  <c r="K372" i="10"/>
  <c r="I645" i="10"/>
  <c r="K645" i="10"/>
  <c r="I856" i="10"/>
  <c r="K856" i="10"/>
  <c r="I961" i="10"/>
  <c r="K961" i="10"/>
  <c r="I308" i="10"/>
  <c r="K308" i="10"/>
  <c r="G171" i="10"/>
  <c r="H171" i="10"/>
  <c r="I928" i="10"/>
  <c r="K928" i="10"/>
  <c r="G492" i="10"/>
  <c r="H492" i="10"/>
  <c r="G824" i="10"/>
  <c r="H824" i="10"/>
  <c r="H134" i="10"/>
  <c r="G134" i="10"/>
  <c r="G184" i="10"/>
  <c r="H184" i="10"/>
  <c r="G303" i="10"/>
  <c r="H303" i="10"/>
  <c r="G27" i="10"/>
  <c r="H27" i="10"/>
  <c r="G267" i="10"/>
  <c r="H267" i="10"/>
  <c r="G590" i="10"/>
  <c r="H590" i="10"/>
  <c r="G318" i="10"/>
  <c r="H318" i="10"/>
  <c r="G43" i="10"/>
  <c r="H43" i="10"/>
  <c r="G385" i="10"/>
  <c r="H385" i="10"/>
  <c r="G112" i="10"/>
  <c r="H112" i="10"/>
  <c r="G844" i="10"/>
  <c r="H844" i="10"/>
  <c r="G588" i="10"/>
  <c r="H588" i="10"/>
  <c r="G315" i="10"/>
  <c r="H315" i="10"/>
  <c r="G41" i="10"/>
  <c r="H41" i="10"/>
  <c r="H161" i="10"/>
  <c r="G161" i="10"/>
  <c r="G536" i="10"/>
  <c r="H536" i="10"/>
  <c r="G970" i="10"/>
  <c r="H970" i="10"/>
  <c r="G714" i="10"/>
  <c r="H714" i="10"/>
  <c r="G450" i="10"/>
  <c r="H450" i="10"/>
  <c r="H177" i="10"/>
  <c r="G177" i="10"/>
  <c r="G525" i="10"/>
  <c r="H525" i="10"/>
  <c r="G269" i="10"/>
  <c r="H269" i="10"/>
  <c r="G13" i="10"/>
  <c r="H13" i="10"/>
  <c r="G289" i="10"/>
  <c r="H289" i="10"/>
  <c r="G693" i="10"/>
  <c r="H693" i="10"/>
  <c r="I979" i="10"/>
  <c r="K979" i="10"/>
  <c r="G523" i="10"/>
  <c r="H523" i="10"/>
  <c r="K846" i="10"/>
  <c r="I994" i="10"/>
  <c r="K994" i="10"/>
  <c r="I792" i="10"/>
  <c r="K792" i="10"/>
  <c r="I389" i="10"/>
  <c r="K389" i="10"/>
  <c r="K795" i="10"/>
  <c r="K51" i="10"/>
  <c r="I51" i="10"/>
  <c r="G68" i="10"/>
  <c r="H68" i="10"/>
  <c r="I983" i="10"/>
  <c r="K983" i="10"/>
  <c r="G106" i="10"/>
  <c r="H106" i="10"/>
  <c r="K995" i="10"/>
  <c r="I995" i="10"/>
  <c r="K765" i="10"/>
  <c r="I607" i="10"/>
  <c r="K607" i="10"/>
  <c r="K227" i="10"/>
  <c r="I227" i="10"/>
  <c r="K507" i="10"/>
  <c r="I910" i="10"/>
  <c r="K910" i="10"/>
  <c r="I723" i="10"/>
  <c r="K723" i="10"/>
  <c r="I982" i="10"/>
  <c r="K982" i="10"/>
  <c r="I1001" i="10"/>
  <c r="K1001" i="10"/>
  <c r="G164" i="10"/>
  <c r="H164" i="10"/>
  <c r="I867" i="10"/>
  <c r="K867" i="10"/>
  <c r="K949" i="10"/>
  <c r="I949" i="10"/>
  <c r="G353" i="10"/>
  <c r="H353" i="10"/>
  <c r="G401" i="10"/>
  <c r="H401" i="10"/>
  <c r="G93" i="10"/>
  <c r="H93" i="10"/>
  <c r="G754" i="10"/>
  <c r="H754" i="10"/>
  <c r="K907" i="10"/>
  <c r="I799" i="10"/>
  <c r="K799" i="10"/>
  <c r="I643" i="10"/>
  <c r="K643" i="10"/>
  <c r="K206" i="10"/>
  <c r="I449" i="10"/>
  <c r="K449" i="10"/>
  <c r="I685" i="10"/>
  <c r="K685" i="10"/>
  <c r="K405" i="10"/>
  <c r="I609" i="10"/>
  <c r="K609" i="10"/>
  <c r="G751" i="10"/>
  <c r="H751" i="10"/>
  <c r="G1006" i="10"/>
  <c r="H1006" i="10"/>
  <c r="I889" i="10"/>
  <c r="K889" i="10"/>
  <c r="G344" i="10"/>
  <c r="H344" i="10"/>
  <c r="G728" i="10"/>
  <c r="H728" i="10"/>
  <c r="G89" i="10"/>
  <c r="H89" i="10"/>
  <c r="G841" i="10"/>
  <c r="H841" i="10"/>
  <c r="K755" i="10"/>
  <c r="I777" i="10"/>
  <c r="K777" i="10"/>
  <c r="I558" i="10"/>
  <c r="K558" i="10"/>
  <c r="G376" i="10"/>
  <c r="H376" i="10"/>
  <c r="H750" i="10"/>
  <c r="G750" i="10"/>
  <c r="G278" i="10"/>
  <c r="H278" i="10"/>
  <c r="G879" i="10"/>
  <c r="H879" i="10"/>
  <c r="I513" i="10"/>
  <c r="K513" i="10"/>
  <c r="G208" i="10"/>
  <c r="H208" i="10"/>
  <c r="K953" i="10"/>
  <c r="I977" i="10"/>
  <c r="K977" i="10"/>
  <c r="G516" i="10"/>
  <c r="H516" i="10"/>
  <c r="G843" i="10"/>
  <c r="H843" i="10"/>
  <c r="G117" i="10"/>
  <c r="H117" i="10"/>
  <c r="G167" i="10"/>
  <c r="H167" i="10"/>
  <c r="G286" i="10"/>
  <c r="H286" i="10"/>
  <c r="G9" i="10"/>
  <c r="H9" i="10"/>
  <c r="G250" i="10"/>
  <c r="H250" i="10"/>
  <c r="G574" i="10"/>
  <c r="H574" i="10"/>
  <c r="G300" i="10"/>
  <c r="H300" i="10"/>
  <c r="G25" i="10"/>
  <c r="H25" i="10"/>
  <c r="G368" i="10"/>
  <c r="H368" i="10"/>
  <c r="G95" i="10"/>
  <c r="H95" i="10"/>
  <c r="G828" i="10"/>
  <c r="H828" i="10"/>
  <c r="G571" i="10"/>
  <c r="H571" i="10"/>
  <c r="G298" i="10"/>
  <c r="H298" i="10"/>
  <c r="G23" i="10"/>
  <c r="H23" i="10"/>
  <c r="H144" i="10"/>
  <c r="G144" i="10"/>
  <c r="H502" i="10"/>
  <c r="G502" i="10"/>
  <c r="G954" i="10"/>
  <c r="H954" i="10"/>
  <c r="G698" i="10"/>
  <c r="H698" i="10"/>
  <c r="G433" i="10"/>
  <c r="H433" i="10"/>
  <c r="G160" i="10"/>
  <c r="H160" i="10"/>
  <c r="H509" i="10"/>
  <c r="G509" i="10"/>
  <c r="G253" i="10"/>
  <c r="H253" i="10"/>
  <c r="I863" i="10"/>
  <c r="K863" i="10"/>
  <c r="K797" i="10"/>
  <c r="I670" i="10"/>
  <c r="K670" i="10"/>
  <c r="H323" i="10"/>
  <c r="G323" i="10"/>
  <c r="G712" i="10"/>
  <c r="H712" i="10"/>
  <c r="K575" i="10"/>
  <c r="G18" i="10"/>
  <c r="H18" i="10"/>
  <c r="G546" i="10"/>
  <c r="H546" i="10"/>
  <c r="K86" i="10"/>
  <c r="I86" i="10"/>
  <c r="I849" i="10"/>
  <c r="K849" i="10"/>
  <c r="G104" i="10"/>
  <c r="H104" i="10"/>
  <c r="I930" i="10"/>
  <c r="K930" i="10"/>
  <c r="G32" i="10"/>
  <c r="H32" i="10"/>
  <c r="I474" i="10"/>
  <c r="K474" i="10"/>
  <c r="I721" i="10"/>
  <c r="K721" i="10"/>
  <c r="I688" i="10"/>
  <c r="K688" i="10"/>
  <c r="I152" i="10"/>
  <c r="K152" i="10"/>
  <c r="I475" i="10"/>
  <c r="K475" i="10"/>
  <c r="K660" i="10"/>
  <c r="I660" i="10"/>
  <c r="I562" i="10"/>
  <c r="K562" i="10"/>
  <c r="K34" i="10"/>
  <c r="I34" i="10"/>
  <c r="I122" i="10"/>
  <c r="K122" i="10"/>
  <c r="K811" i="10"/>
  <c r="I457" i="10"/>
  <c r="K457" i="10"/>
  <c r="I959" i="10"/>
  <c r="K959" i="10"/>
  <c r="I306" i="10"/>
  <c r="K306" i="10"/>
  <c r="I742" i="10"/>
  <c r="K742" i="10"/>
  <c r="I426" i="10"/>
  <c r="K426" i="10"/>
  <c r="I664" i="10"/>
  <c r="K664" i="10"/>
  <c r="I706" i="10"/>
  <c r="K706" i="10"/>
  <c r="K341" i="10"/>
  <c r="I341" i="10"/>
  <c r="G591" i="10"/>
  <c r="H591" i="10"/>
  <c r="G990" i="10"/>
  <c r="H990" i="10"/>
  <c r="I991" i="10" s="1"/>
  <c r="G823" i="10"/>
  <c r="H823" i="10"/>
  <c r="H403" i="10"/>
  <c r="G403" i="10"/>
  <c r="G667" i="10"/>
  <c r="H667" i="10"/>
  <c r="I639" i="10"/>
  <c r="K639" i="10"/>
  <c r="G380" i="10"/>
  <c r="H380" i="10"/>
  <c r="K852" i="10"/>
  <c r="I852" i="10"/>
  <c r="I360" i="10"/>
  <c r="K360" i="10"/>
  <c r="I767" i="10"/>
  <c r="K767" i="10"/>
  <c r="K192" i="10"/>
  <c r="I192" i="10"/>
  <c r="H987" i="10"/>
  <c r="G987" i="10"/>
  <c r="H805" i="10"/>
  <c r="G805" i="10"/>
  <c r="G135" i="10"/>
  <c r="H135" i="10"/>
  <c r="K583" i="10"/>
  <c r="I583" i="10"/>
  <c r="G407" i="10"/>
  <c r="H407" i="10"/>
  <c r="H345" i="10"/>
  <c r="G345" i="10"/>
  <c r="G915" i="10"/>
  <c r="H915" i="10"/>
  <c r="K883" i="10"/>
  <c r="I883" i="10"/>
  <c r="G244" i="10"/>
  <c r="H244" i="10"/>
  <c r="G16" i="10"/>
  <c r="H16" i="10"/>
  <c r="G544" i="10"/>
  <c r="H544" i="10"/>
  <c r="G862" i="10"/>
  <c r="H862" i="10"/>
  <c r="G100" i="10"/>
  <c r="H100" i="10"/>
  <c r="G150" i="10"/>
  <c r="H150" i="10"/>
  <c r="G268" i="10"/>
  <c r="H268" i="10"/>
  <c r="G506" i="10"/>
  <c r="H506" i="10"/>
  <c r="I507" i="10" s="1"/>
  <c r="G233" i="10"/>
  <c r="H233" i="10"/>
  <c r="G556" i="10"/>
  <c r="H556" i="10"/>
  <c r="G283" i="10"/>
  <c r="H283" i="10"/>
  <c r="G7" i="10"/>
  <c r="H7" i="10"/>
  <c r="G351" i="10"/>
  <c r="H351" i="10"/>
  <c r="G78" i="10"/>
  <c r="H78" i="10"/>
  <c r="G812" i="10"/>
  <c r="H812" i="10"/>
  <c r="G554" i="10"/>
  <c r="H554" i="10"/>
  <c r="G281" i="10"/>
  <c r="H281" i="10"/>
  <c r="H731" i="10"/>
  <c r="G731" i="10"/>
  <c r="G127" i="10"/>
  <c r="H127" i="10"/>
  <c r="G485" i="10"/>
  <c r="H485" i="10"/>
  <c r="G938" i="10"/>
  <c r="H938" i="10"/>
  <c r="G682" i="10"/>
  <c r="H682" i="10"/>
  <c r="G416" i="10"/>
  <c r="H416" i="10"/>
  <c r="G143" i="10"/>
  <c r="H143" i="10"/>
  <c r="G493" i="10"/>
  <c r="H493" i="10"/>
  <c r="G237" i="10"/>
  <c r="H237" i="10"/>
  <c r="I238" i="10" s="1"/>
  <c r="H355" i="10"/>
  <c r="G355" i="10"/>
  <c r="G734" i="10"/>
  <c r="H734" i="10"/>
  <c r="I534" i="10"/>
  <c r="K534" i="10"/>
  <c r="G56" i="10"/>
  <c r="H56" i="10"/>
  <c r="G568" i="10"/>
  <c r="H568" i="10"/>
  <c r="I882" i="10"/>
  <c r="K882" i="10"/>
  <c r="K903" i="10"/>
  <c r="I903" i="10"/>
  <c r="I512" i="10"/>
  <c r="K512" i="10"/>
  <c r="I942" i="10"/>
  <c r="K942" i="10"/>
  <c r="I412" i="10"/>
  <c r="K412" i="10"/>
  <c r="I642" i="10"/>
  <c r="K642" i="10"/>
  <c r="I459" i="10"/>
  <c r="K459" i="10"/>
  <c r="G140" i="10"/>
  <c r="H140" i="10"/>
  <c r="K473" i="10"/>
  <c r="I920" i="10"/>
  <c r="K920" i="10"/>
  <c r="G69" i="10"/>
  <c r="H69" i="10"/>
  <c r="I659" i="10"/>
  <c r="K659" i="10"/>
  <c r="I329" i="10"/>
  <c r="K329" i="10"/>
  <c r="I579" i="10"/>
  <c r="K579" i="10"/>
  <c r="I866" i="10"/>
  <c r="K866" i="10"/>
  <c r="I271" i="10"/>
  <c r="K271" i="10"/>
  <c r="I530" i="10"/>
  <c r="K530" i="10"/>
  <c r="I744" i="10"/>
  <c r="K744" i="10"/>
  <c r="K997" i="10"/>
  <c r="I997" i="10"/>
  <c r="I531" i="10"/>
  <c r="K531" i="10"/>
  <c r="K310" i="10"/>
  <c r="I310" i="10"/>
  <c r="I120" i="10"/>
  <c r="K120" i="10"/>
  <c r="K38" i="10"/>
  <c r="I38" i="10"/>
  <c r="G114" i="10"/>
  <c r="H114" i="10"/>
  <c r="G170" i="10"/>
  <c r="H170" i="10"/>
  <c r="G346" i="10"/>
  <c r="H346" i="10"/>
  <c r="G470" i="10"/>
  <c r="H470" i="10"/>
  <c r="G794" i="10"/>
  <c r="H794" i="10"/>
  <c r="I584" i="10"/>
  <c r="K584" i="10"/>
  <c r="I895" i="10"/>
  <c r="K895" i="10"/>
  <c r="K695" i="10"/>
  <c r="G277" i="10"/>
  <c r="H277" i="10"/>
  <c r="I758" i="10"/>
  <c r="K758" i="10"/>
  <c r="G709" i="10"/>
  <c r="H709" i="10"/>
  <c r="G463" i="10"/>
  <c r="H463" i="10"/>
  <c r="I373" i="10"/>
  <c r="K373" i="10"/>
  <c r="K773" i="10"/>
  <c r="I773" i="10"/>
  <c r="G768" i="10"/>
  <c r="H768" i="10"/>
  <c r="I722" i="10"/>
  <c r="K722" i="10"/>
  <c r="I831" i="10"/>
  <c r="K831" i="10"/>
  <c r="G431" i="10"/>
  <c r="H431" i="10"/>
  <c r="H786" i="10"/>
  <c r="G786" i="10"/>
  <c r="G377" i="10"/>
  <c r="H377" i="10"/>
  <c r="G951" i="10"/>
  <c r="H951" i="10"/>
  <c r="G312" i="10"/>
  <c r="H312" i="10"/>
  <c r="K275" i="10"/>
  <c r="I275" i="10"/>
  <c r="H54" i="10"/>
  <c r="G54" i="10"/>
  <c r="H566" i="10"/>
  <c r="G566" i="10"/>
  <c r="G880" i="10"/>
  <c r="H880" i="10"/>
  <c r="I881" i="10" s="1"/>
  <c r="H83" i="10"/>
  <c r="I84" i="10" s="1"/>
  <c r="G83" i="10"/>
  <c r="G133" i="10"/>
  <c r="H133" i="10"/>
  <c r="H251" i="10"/>
  <c r="G251" i="10"/>
  <c r="H489" i="10"/>
  <c r="G489" i="10"/>
  <c r="G216" i="10"/>
  <c r="H216" i="10"/>
  <c r="G539" i="10"/>
  <c r="H539" i="10"/>
  <c r="G266" i="10"/>
  <c r="H266" i="10"/>
  <c r="G605" i="10"/>
  <c r="H605" i="10"/>
  <c r="I606" i="10" s="1"/>
  <c r="G334" i="10"/>
  <c r="H334" i="10"/>
  <c r="G60" i="10"/>
  <c r="H60" i="10"/>
  <c r="G796" i="10"/>
  <c r="H796" i="10"/>
  <c r="I797" i="10" s="1"/>
  <c r="G537" i="10"/>
  <c r="H537" i="10"/>
  <c r="G264" i="10"/>
  <c r="H264" i="10"/>
  <c r="G683" i="10"/>
  <c r="H683" i="10"/>
  <c r="G110" i="10"/>
  <c r="H110" i="10"/>
  <c r="H451" i="10"/>
  <c r="G451" i="10"/>
  <c r="G922" i="10"/>
  <c r="H922" i="10"/>
  <c r="I923" i="10" s="1"/>
  <c r="G666" i="10"/>
  <c r="H666" i="10"/>
  <c r="G399" i="10"/>
  <c r="H399" i="10"/>
  <c r="H126" i="10"/>
  <c r="G126" i="10"/>
  <c r="G477" i="10"/>
  <c r="H477" i="10"/>
  <c r="I478" i="10" s="1"/>
  <c r="G221" i="10"/>
  <c r="H221" i="10"/>
  <c r="I703" i="10"/>
  <c r="K703" i="10"/>
  <c r="I913" i="10"/>
  <c r="K913" i="10"/>
  <c r="G379" i="10"/>
  <c r="H379" i="10"/>
  <c r="G753" i="10"/>
  <c r="H753" i="10"/>
  <c r="I919" i="10"/>
  <c r="K919" i="10"/>
  <c r="K820" i="10"/>
  <c r="I820" i="10"/>
  <c r="H102" i="10"/>
  <c r="G102" i="10"/>
  <c r="H595" i="10"/>
  <c r="G595" i="10"/>
  <c r="I980" i="10"/>
  <c r="K980" i="10"/>
  <c r="G186" i="10"/>
  <c r="H186" i="10"/>
  <c r="I497" i="10"/>
  <c r="K497" i="10"/>
  <c r="I814" i="10"/>
  <c r="K814" i="10"/>
  <c r="G105" i="10"/>
  <c r="H105" i="10"/>
  <c r="I678" i="10"/>
  <c r="K678" i="10"/>
  <c r="K188" i="10"/>
  <c r="I499" i="10"/>
  <c r="K499" i="10"/>
  <c r="K679" i="10"/>
  <c r="I679" i="10"/>
  <c r="I838" i="10"/>
  <c r="K838" i="10"/>
  <c r="I600" i="10"/>
  <c r="K600" i="10"/>
  <c r="I482" i="10"/>
  <c r="K482" i="10"/>
  <c r="I909" i="10"/>
  <c r="K909" i="10"/>
  <c r="K36" i="10"/>
  <c r="I36" i="10"/>
  <c r="K581" i="10"/>
  <c r="I581" i="10"/>
  <c r="I817" i="10"/>
  <c r="K817" i="10"/>
  <c r="I689" i="10"/>
  <c r="K689" i="10"/>
  <c r="I156" i="10"/>
  <c r="K156" i="10"/>
  <c r="K456" i="10"/>
  <c r="I686" i="10"/>
  <c r="K686" i="10"/>
  <c r="I375" i="10"/>
  <c r="K375" i="10"/>
  <c r="K85" i="10"/>
  <c r="I85" i="10"/>
  <c r="K398" i="10"/>
  <c r="G504" i="10"/>
  <c r="H504" i="10"/>
  <c r="G219" i="10"/>
  <c r="H219" i="10"/>
  <c r="G212" i="10"/>
  <c r="H212" i="10"/>
  <c r="I681" i="10"/>
  <c r="K681" i="10"/>
  <c r="K989" i="10"/>
  <c r="I936" i="10"/>
  <c r="K936" i="10"/>
  <c r="G66" i="10"/>
  <c r="H66" i="10"/>
  <c r="G472" i="10"/>
  <c r="H472" i="10"/>
  <c r="H589" i="10"/>
  <c r="G589" i="10"/>
  <c r="G247" i="10"/>
  <c r="H247" i="10"/>
  <c r="H651" i="10"/>
  <c r="G651" i="10"/>
  <c r="G906" i="10"/>
  <c r="H906" i="10"/>
  <c r="I907" i="10" s="1"/>
  <c r="G650" i="10"/>
  <c r="H650" i="10"/>
  <c r="G382" i="10"/>
  <c r="H382" i="10"/>
  <c r="G108" i="10"/>
  <c r="H108" i="10"/>
  <c r="G461" i="10"/>
  <c r="H461" i="10"/>
  <c r="G205" i="10"/>
  <c r="H205" i="10"/>
  <c r="K899" i="10"/>
  <c r="G410" i="10"/>
  <c r="H410" i="10"/>
  <c r="H771" i="10"/>
  <c r="G771" i="10"/>
  <c r="H138" i="10"/>
  <c r="G138" i="10"/>
  <c r="G615" i="10"/>
  <c r="H615" i="10"/>
  <c r="I900" i="10"/>
  <c r="I802" i="10"/>
  <c r="K802" i="10"/>
  <c r="G19" i="10"/>
  <c r="H19" i="10"/>
  <c r="I442" i="10"/>
  <c r="K442" i="10"/>
  <c r="I779" i="10"/>
  <c r="K779" i="10"/>
  <c r="I708" i="10"/>
  <c r="K708" i="10"/>
  <c r="H223" i="10"/>
  <c r="G223" i="10"/>
  <c r="G142" i="10"/>
  <c r="H142" i="10"/>
  <c r="I498" i="10"/>
  <c r="K498" i="10"/>
  <c r="K851" i="10"/>
  <c r="I851" i="10"/>
  <c r="I894" i="10"/>
  <c r="K894" i="10"/>
  <c r="K71" i="10"/>
  <c r="I71" i="10"/>
  <c r="I361" i="10"/>
  <c r="K361" i="10"/>
  <c r="K947" i="10"/>
  <c r="I947" i="10"/>
  <c r="I305" i="10"/>
  <c r="K305" i="10"/>
  <c r="K580" i="10"/>
  <c r="I580" i="10"/>
  <c r="K50" i="10"/>
  <c r="I339" i="10"/>
  <c r="K339" i="10"/>
  <c r="K819" i="10"/>
  <c r="I819" i="10"/>
  <c r="H896" i="10"/>
  <c r="G896" i="10"/>
  <c r="G437" i="10"/>
  <c r="H437" i="10"/>
  <c r="I918" i="10"/>
  <c r="K918" i="10"/>
  <c r="G115" i="10"/>
  <c r="H115" i="10"/>
  <c r="G262" i="10"/>
  <c r="H262" i="10"/>
  <c r="K599" i="10"/>
  <c r="I599" i="10"/>
  <c r="K886" i="10"/>
  <c r="I886" i="10"/>
  <c r="I975" i="10"/>
  <c r="K975" i="10"/>
  <c r="G593" i="10"/>
  <c r="H593" i="10"/>
  <c r="G520" i="10"/>
  <c r="H520" i="10"/>
  <c r="I926" i="10"/>
  <c r="K926" i="10"/>
  <c r="G822" i="10"/>
  <c r="H822" i="10"/>
  <c r="I998" i="10"/>
  <c r="K998" i="10"/>
  <c r="I957" i="10"/>
  <c r="K957" i="10"/>
  <c r="G136" i="10"/>
  <c r="H136" i="10"/>
  <c r="G916" i="10"/>
  <c r="H916" i="10"/>
  <c r="H49" i="10"/>
  <c r="G49" i="10"/>
  <c r="G99" i="10"/>
  <c r="H99" i="10"/>
  <c r="G217" i="10"/>
  <c r="H217" i="10"/>
  <c r="G455" i="10"/>
  <c r="H455" i="10"/>
  <c r="I456" i="10" s="1"/>
  <c r="G182" i="10"/>
  <c r="H182" i="10"/>
  <c r="G505" i="10"/>
  <c r="H505" i="10"/>
  <c r="G232" i="10"/>
  <c r="H232" i="10"/>
  <c r="G572" i="10"/>
  <c r="H572" i="10"/>
  <c r="G299" i="10"/>
  <c r="H299" i="10"/>
  <c r="G24" i="10"/>
  <c r="H24" i="10"/>
  <c r="G764" i="10"/>
  <c r="H764" i="10"/>
  <c r="I765" i="10" s="1"/>
  <c r="H503" i="10"/>
  <c r="G503" i="10"/>
  <c r="G230" i="10"/>
  <c r="H230" i="10"/>
  <c r="G619" i="10"/>
  <c r="H619" i="10"/>
  <c r="G75" i="10"/>
  <c r="H75" i="10"/>
  <c r="G400" i="10"/>
  <c r="H400" i="10"/>
  <c r="G890" i="10"/>
  <c r="H890" i="10"/>
  <c r="G634" i="10"/>
  <c r="H634" i="10"/>
  <c r="G364" i="10"/>
  <c r="H364" i="10"/>
  <c r="G91" i="10"/>
  <c r="H91" i="10"/>
  <c r="G445" i="10"/>
  <c r="H445" i="10"/>
  <c r="I446" i="10" s="1"/>
  <c r="G189" i="10"/>
  <c r="H189" i="10"/>
  <c r="K973" i="10"/>
  <c r="I665" i="10"/>
  <c r="K665" i="10"/>
  <c r="G440" i="10"/>
  <c r="H440" i="10"/>
  <c r="G789" i="10"/>
  <c r="H789" i="10"/>
  <c r="G175" i="10"/>
  <c r="H175" i="10"/>
  <c r="G637" i="10"/>
  <c r="H637" i="10"/>
  <c r="I638" i="10" s="1"/>
  <c r="I739" i="10"/>
  <c r="K739" i="10"/>
  <c r="G67" i="10"/>
  <c r="H67" i="10"/>
  <c r="H258" i="10"/>
  <c r="G258" i="10"/>
  <c r="I526" i="10"/>
  <c r="K526" i="10"/>
  <c r="I740" i="10"/>
  <c r="I242" i="10"/>
  <c r="K242" i="10"/>
  <c r="G187" i="10"/>
  <c r="H187" i="10"/>
  <c r="I188" i="10" s="1"/>
  <c r="I527" i="10"/>
  <c r="K527" i="10"/>
  <c r="I834" i="10"/>
  <c r="K834" i="10"/>
  <c r="K87" i="10"/>
  <c r="I87" i="10"/>
  <c r="I701" i="10"/>
  <c r="K701" i="10"/>
  <c r="I107" i="10"/>
  <c r="K107" i="10"/>
  <c r="I393" i="10"/>
  <c r="K393" i="10"/>
  <c r="I623" i="10"/>
  <c r="K623" i="10"/>
  <c r="I745" i="10"/>
  <c r="K745" i="10"/>
  <c r="K996" i="10"/>
  <c r="I996" i="10"/>
  <c r="I73" i="10"/>
  <c r="K73" i="10"/>
  <c r="I363" i="10"/>
  <c r="K363" i="10"/>
  <c r="I625" i="10"/>
  <c r="K625" i="10"/>
  <c r="I687" i="10"/>
  <c r="K687" i="10"/>
  <c r="I967" i="10"/>
  <c r="K967" i="10"/>
  <c r="I480" i="10"/>
  <c r="K480" i="10"/>
  <c r="I705" i="10"/>
  <c r="K705" i="10"/>
  <c r="I610" i="10"/>
  <c r="K610" i="10"/>
  <c r="I121" i="10"/>
  <c r="K121" i="10"/>
  <c r="H387" i="10"/>
  <c r="G387" i="10"/>
  <c r="K759" i="10"/>
  <c r="I759" i="10"/>
  <c r="G348" i="10"/>
  <c r="H348" i="10"/>
  <c r="K757" i="10"/>
  <c r="I757" i="10"/>
  <c r="H804" i="10"/>
  <c r="G804" i="10"/>
  <c r="G90" i="10"/>
  <c r="H90" i="10"/>
  <c r="G116" i="10"/>
  <c r="H116" i="10"/>
  <c r="G199" i="10"/>
  <c r="H199" i="10"/>
  <c r="G249" i="10"/>
  <c r="H249" i="10"/>
  <c r="G42" i="10"/>
  <c r="H42" i="10"/>
  <c r="G92" i="10"/>
  <c r="H92" i="10"/>
  <c r="G490" i="10"/>
  <c r="H490" i="10"/>
  <c r="G432" i="10"/>
  <c r="H432" i="10"/>
  <c r="G592" i="10"/>
  <c r="H592" i="10"/>
  <c r="H613" i="10"/>
  <c r="G613" i="10"/>
  <c r="I964" i="10"/>
  <c r="K964" i="10"/>
  <c r="G514" i="10"/>
  <c r="H514" i="10"/>
  <c r="G840" i="10"/>
  <c r="H840" i="10"/>
  <c r="G491" i="10"/>
  <c r="H491" i="10"/>
  <c r="I737" i="10"/>
  <c r="K737" i="10"/>
  <c r="I853" i="10"/>
  <c r="K853" i="10"/>
  <c r="I394" i="10"/>
  <c r="K394" i="10"/>
  <c r="G653" i="10"/>
  <c r="H653" i="10"/>
  <c r="K875" i="10"/>
  <c r="H172" i="10"/>
  <c r="G172" i="10"/>
  <c r="G632" i="10"/>
  <c r="H632" i="10"/>
  <c r="H934" i="10"/>
  <c r="G934" i="10"/>
  <c r="G30" i="10"/>
  <c r="H30" i="10"/>
  <c r="G82" i="10"/>
  <c r="H82" i="10"/>
  <c r="G200" i="10"/>
  <c r="H200" i="10"/>
  <c r="G438" i="10"/>
  <c r="H438" i="10"/>
  <c r="G165" i="10"/>
  <c r="H165" i="10"/>
  <c r="G488" i="10"/>
  <c r="H488" i="10"/>
  <c r="G215" i="10"/>
  <c r="H215" i="10"/>
  <c r="G555" i="10"/>
  <c r="H555" i="10"/>
  <c r="G282" i="10"/>
  <c r="H282" i="10"/>
  <c r="H1004" i="10"/>
  <c r="G1004" i="10"/>
  <c r="H748" i="10"/>
  <c r="I749" i="10" s="1"/>
  <c r="G748" i="10"/>
  <c r="G486" i="10"/>
  <c r="H486" i="10"/>
  <c r="G213" i="10"/>
  <c r="H213" i="10"/>
  <c r="G587" i="10"/>
  <c r="H587" i="10"/>
  <c r="H40" i="10"/>
  <c r="G40" i="10"/>
  <c r="H366" i="10"/>
  <c r="G366" i="10"/>
  <c r="G874" i="10"/>
  <c r="H874" i="10"/>
  <c r="G618" i="10"/>
  <c r="H618" i="10"/>
  <c r="G347" i="10"/>
  <c r="H347" i="10"/>
  <c r="G74" i="10"/>
  <c r="H74" i="10"/>
  <c r="G429" i="10"/>
  <c r="H429" i="10"/>
  <c r="G173" i="10"/>
  <c r="H173" i="10"/>
  <c r="K717" i="10"/>
  <c r="G464" i="10"/>
  <c r="H464" i="10"/>
  <c r="G807" i="10"/>
  <c r="H807" i="10"/>
  <c r="I868" i="10"/>
  <c r="K868" i="10"/>
  <c r="I563" i="10"/>
  <c r="K563" i="10"/>
  <c r="G220" i="10"/>
  <c r="H220" i="10"/>
  <c r="H656" i="10"/>
  <c r="G656" i="10"/>
  <c r="I974" i="10"/>
  <c r="K974" i="10"/>
  <c r="I904" i="10"/>
  <c r="K904" i="10"/>
  <c r="G103" i="10"/>
  <c r="H103" i="10"/>
  <c r="K839" i="10"/>
  <c r="I839" i="10"/>
  <c r="G292" i="10"/>
  <c r="H292" i="10"/>
  <c r="G224" i="10"/>
  <c r="H224" i="10"/>
  <c r="I225" i="10" s="1"/>
  <c r="I697" i="10"/>
  <c r="K697" i="10"/>
  <c r="K225" i="10"/>
  <c r="I528" i="10"/>
  <c r="K528" i="10"/>
  <c r="K338" i="10"/>
  <c r="I601" i="10"/>
  <c r="K601" i="10"/>
  <c r="I458" i="10"/>
  <c r="K458" i="10"/>
  <c r="I193" i="10"/>
  <c r="K193" i="10"/>
  <c r="K17" i="10"/>
  <c r="I17" i="10"/>
  <c r="I720" i="10"/>
  <c r="K720" i="10"/>
  <c r="G128" i="10"/>
  <c r="H128" i="10"/>
  <c r="I598" i="10"/>
  <c r="K598" i="10"/>
  <c r="G460" i="10"/>
  <c r="H460" i="10"/>
  <c r="I785" i="10"/>
  <c r="K785" i="10"/>
  <c r="H898" i="10"/>
  <c r="I899" i="10" s="1"/>
  <c r="G898" i="10"/>
  <c r="G780" i="10"/>
  <c r="H780" i="10"/>
  <c r="G859" i="10"/>
  <c r="H859" i="10"/>
  <c r="I559" i="10"/>
  <c r="K559" i="10"/>
  <c r="K902" i="10"/>
  <c r="I902" i="10"/>
  <c r="H209" i="10"/>
  <c r="G209" i="10"/>
  <c r="H952" i="10"/>
  <c r="I953" i="10" s="1"/>
  <c r="G952" i="10"/>
  <c r="G11" i="10"/>
  <c r="H11" i="10"/>
  <c r="H65" i="10"/>
  <c r="G65" i="10"/>
  <c r="G183" i="10"/>
  <c r="H183" i="10"/>
  <c r="G421" i="10"/>
  <c r="H421" i="10"/>
  <c r="I422" i="10" s="1"/>
  <c r="G471" i="10"/>
  <c r="H471" i="10"/>
  <c r="G198" i="10"/>
  <c r="H198" i="10"/>
  <c r="G538" i="10"/>
  <c r="H538" i="10"/>
  <c r="G265" i="10"/>
  <c r="H265" i="10"/>
  <c r="G988" i="10"/>
  <c r="H988" i="10"/>
  <c r="G732" i="10"/>
  <c r="H732" i="10"/>
  <c r="G469" i="10"/>
  <c r="H469" i="10"/>
  <c r="G196" i="10"/>
  <c r="H196" i="10"/>
  <c r="G519" i="10"/>
  <c r="H519" i="10"/>
  <c r="H22" i="10"/>
  <c r="G22" i="10"/>
  <c r="G331" i="10"/>
  <c r="H331" i="10"/>
  <c r="G858" i="10"/>
  <c r="H858" i="10"/>
  <c r="G602" i="10"/>
  <c r="H602" i="10"/>
  <c r="G330" i="10"/>
  <c r="H330" i="10"/>
  <c r="G57" i="10"/>
  <c r="H57" i="10"/>
  <c r="G413" i="10"/>
  <c r="H413" i="10"/>
  <c r="I414" i="10" s="1"/>
  <c r="G157" i="10"/>
  <c r="H157" i="10"/>
  <c r="I955" i="10"/>
  <c r="K955" i="10"/>
  <c r="I855" i="10"/>
  <c r="K855" i="10"/>
  <c r="I847" i="10"/>
  <c r="K847" i="10"/>
  <c r="H494" i="10"/>
  <c r="G494" i="10"/>
  <c r="G825" i="10"/>
  <c r="H825" i="10"/>
  <c r="K931" i="10"/>
  <c r="I931" i="10"/>
  <c r="G256" i="10"/>
  <c r="H256" i="10"/>
  <c r="H675" i="10"/>
  <c r="I676" i="10" s="1"/>
  <c r="G675" i="10"/>
  <c r="I984" i="10"/>
  <c r="K984" i="10"/>
  <c r="G139" i="10"/>
  <c r="H139" i="10"/>
  <c r="K596" i="10"/>
  <c r="I596" i="10"/>
  <c r="K835" i="10"/>
  <c r="I835" i="10"/>
  <c r="K326" i="10"/>
  <c r="I326" i="10"/>
  <c r="I548" i="10"/>
  <c r="K548" i="10"/>
  <c r="I761" i="10"/>
  <c r="K761" i="10"/>
  <c r="G259" i="10"/>
  <c r="H259" i="10"/>
  <c r="I549" i="10"/>
  <c r="K549" i="10"/>
  <c r="I719" i="10"/>
  <c r="K719" i="10"/>
  <c r="K781" i="10"/>
  <c r="K821" i="10"/>
  <c r="I821" i="10"/>
  <c r="K260" i="10"/>
  <c r="I260" i="10"/>
  <c r="I550" i="10"/>
  <c r="K550" i="10"/>
  <c r="K661" i="10"/>
  <c r="I661" i="10"/>
  <c r="K430" i="10"/>
  <c r="I153" i="10"/>
  <c r="K153" i="10"/>
  <c r="I447" i="10"/>
  <c r="K447" i="10"/>
  <c r="I815" i="10"/>
  <c r="K815" i="10"/>
  <c r="I884" i="10"/>
  <c r="K35" i="10"/>
  <c r="I35" i="10"/>
  <c r="K119" i="10"/>
  <c r="I119" i="10"/>
  <c r="I395" i="10"/>
  <c r="K395" i="10"/>
  <c r="I644" i="10"/>
  <c r="K644" i="10"/>
  <c r="I725" i="10"/>
  <c r="K725" i="10"/>
  <c r="I626" i="10"/>
  <c r="K626" i="10"/>
  <c r="I239" i="10"/>
  <c r="K239" i="10"/>
  <c r="I510" i="10"/>
  <c r="K510" i="10"/>
  <c r="I724" i="10"/>
  <c r="K724" i="10"/>
  <c r="I158" i="10"/>
  <c r="K158" i="10"/>
  <c r="G88" i="10"/>
  <c r="H88" i="10"/>
  <c r="G769" i="10"/>
  <c r="H769" i="10"/>
  <c r="G80" i="10"/>
  <c r="H80" i="10"/>
  <c r="G408" i="10"/>
  <c r="H408" i="10"/>
  <c r="G462" i="10"/>
  <c r="H462" i="10"/>
  <c r="G234" i="10"/>
  <c r="H234" i="10"/>
  <c r="G522" i="10"/>
  <c r="H522" i="10"/>
  <c r="G316" i="10"/>
  <c r="H316" i="10"/>
  <c r="G434" i="10"/>
  <c r="H434" i="10"/>
  <c r="G12" i="10"/>
  <c r="H12" i="10"/>
  <c r="G542" i="10"/>
  <c r="H542" i="10"/>
  <c r="H515" i="10"/>
  <c r="G515" i="10"/>
  <c r="H691" i="10"/>
  <c r="G691" i="10"/>
  <c r="I123" i="10"/>
  <c r="K123" i="10"/>
  <c r="G654" i="10"/>
  <c r="H654" i="10"/>
  <c r="G148" i="10"/>
  <c r="H148" i="10"/>
  <c r="G52" i="10"/>
  <c r="H52" i="10"/>
  <c r="H564" i="10"/>
  <c r="G564" i="10"/>
  <c r="H878" i="10"/>
  <c r="G878" i="10"/>
  <c r="G543" i="10"/>
  <c r="H543" i="10"/>
  <c r="K935" i="10"/>
  <c r="I646" i="10"/>
  <c r="K646" i="10"/>
  <c r="I774" i="10"/>
  <c r="K774" i="10"/>
  <c r="G729" i="10"/>
  <c r="H729" i="10"/>
  <c r="G254" i="10"/>
  <c r="H254" i="10"/>
  <c r="G673" i="10"/>
  <c r="H673" i="10"/>
  <c r="G971" i="10"/>
  <c r="H971" i="10"/>
  <c r="G321" i="10"/>
  <c r="H321" i="10"/>
  <c r="G48" i="10"/>
  <c r="H48" i="10"/>
  <c r="G166" i="10"/>
  <c r="H166" i="10"/>
  <c r="G404" i="10"/>
  <c r="H404" i="10"/>
  <c r="G131" i="10"/>
  <c r="H131" i="10"/>
  <c r="G454" i="10"/>
  <c r="H454" i="10"/>
  <c r="G181" i="10"/>
  <c r="H181" i="10"/>
  <c r="G521" i="10"/>
  <c r="H521" i="10"/>
  <c r="H248" i="10"/>
  <c r="G248" i="10"/>
  <c r="G972" i="10"/>
  <c r="H972" i="10"/>
  <c r="I973" i="10" s="1"/>
  <c r="G716" i="10"/>
  <c r="H716" i="10"/>
  <c r="G452" i="10"/>
  <c r="H452" i="10"/>
  <c r="G179" i="10"/>
  <c r="H179" i="10"/>
  <c r="G468" i="10"/>
  <c r="H468" i="10"/>
  <c r="G747" i="10"/>
  <c r="H747" i="10"/>
  <c r="G297" i="10"/>
  <c r="H297" i="10"/>
  <c r="G842" i="10"/>
  <c r="H842" i="10"/>
  <c r="G586" i="10"/>
  <c r="H586" i="10"/>
  <c r="H313" i="10"/>
  <c r="G313" i="10"/>
  <c r="G39" i="10"/>
  <c r="H39" i="10"/>
  <c r="G397" i="10"/>
  <c r="H397" i="10"/>
  <c r="G141" i="10"/>
  <c r="H141" i="10"/>
  <c r="I929" i="10"/>
  <c r="K929" i="10"/>
  <c r="G517" i="10"/>
  <c r="H517" i="10"/>
  <c r="G845" i="10"/>
  <c r="H845" i="10"/>
  <c r="I846" i="10" s="1"/>
  <c r="I680" i="10"/>
  <c r="K680" i="10"/>
  <c r="G290" i="10"/>
  <c r="H290" i="10"/>
  <c r="G694" i="10"/>
  <c r="H694" i="10"/>
  <c r="I616" i="10"/>
  <c r="K616" i="10"/>
  <c r="I702" i="10"/>
  <c r="K702" i="10"/>
  <c r="G176" i="10"/>
  <c r="H176" i="10"/>
  <c r="I818" i="10"/>
  <c r="K818" i="10"/>
  <c r="I483" i="10"/>
  <c r="K483" i="10"/>
  <c r="H293" i="10"/>
  <c r="G293" i="10"/>
  <c r="I72" i="10"/>
  <c r="K72" i="10"/>
  <c r="I362" i="10"/>
  <c r="K362" i="10"/>
  <c r="I624" i="10"/>
  <c r="K624" i="10"/>
  <c r="I766" i="10"/>
  <c r="K766" i="10"/>
  <c r="K813" i="10"/>
  <c r="I241" i="10"/>
  <c r="K241" i="10"/>
  <c r="I803" i="10"/>
  <c r="D10" i="9"/>
  <c r="D12" i="9" s="1"/>
  <c r="K35" i="8"/>
  <c r="G36" i="8" s="1"/>
  <c r="K36" i="8" s="1"/>
  <c r="G37" i="8" s="1"/>
  <c r="K37" i="8" s="1"/>
  <c r="G38" i="8" s="1"/>
  <c r="K38" i="8" s="1"/>
  <c r="G39" i="8" s="1"/>
  <c r="K39" i="8" s="1"/>
  <c r="G40" i="8" s="1"/>
  <c r="K40" i="8" s="1"/>
  <c r="G41" i="8" s="1"/>
  <c r="K41" i="8" s="1"/>
  <c r="G42" i="8" s="1"/>
  <c r="K42" i="8" s="1"/>
  <c r="G43" i="8" s="1"/>
  <c r="K43" i="8" s="1"/>
  <c r="G44" i="8" s="1"/>
  <c r="K44" i="8" s="1"/>
  <c r="G45" i="8" s="1"/>
  <c r="K45" i="8" s="1"/>
  <c r="G46" i="8" s="1"/>
  <c r="K46" i="8" s="1"/>
  <c r="G47" i="8" s="1"/>
  <c r="K47" i="8" s="1"/>
  <c r="G48" i="8" s="1"/>
  <c r="K48" i="8" s="1"/>
  <c r="G49" i="8" s="1"/>
  <c r="K49" i="8" s="1"/>
  <c r="G50" i="8" s="1"/>
  <c r="K50" i="8" s="1"/>
  <c r="G51" i="8" s="1"/>
  <c r="K51" i="8" s="1"/>
  <c r="G52" i="8" s="1"/>
  <c r="K52" i="8" s="1"/>
  <c r="G53" i="8" s="1"/>
  <c r="K53" i="8" s="1"/>
  <c r="G54" i="8" s="1"/>
  <c r="K54" i="8" s="1"/>
  <c r="G55" i="8" s="1"/>
  <c r="K55" i="8" s="1"/>
  <c r="G56" i="8" s="1"/>
  <c r="K56" i="8" s="1"/>
  <c r="G57" i="8" s="1"/>
  <c r="K57" i="8" s="1"/>
  <c r="G58" i="8" s="1"/>
  <c r="K58" i="8" s="1"/>
  <c r="G59" i="8" s="1"/>
  <c r="K59" i="8" s="1"/>
  <c r="G60" i="8" s="1"/>
  <c r="K60" i="8" s="1"/>
  <c r="G61" i="8" s="1"/>
  <c r="K61" i="8" s="1"/>
  <c r="G62" i="8" s="1"/>
  <c r="K62" i="8" s="1"/>
  <c r="G63" i="8" s="1"/>
  <c r="K63" i="8" s="1"/>
  <c r="G64" i="8" s="1"/>
  <c r="K64" i="8" s="1"/>
  <c r="G65" i="8" s="1"/>
  <c r="K65" i="8" s="1"/>
  <c r="K49" i="6"/>
  <c r="G50" i="6" s="1"/>
  <c r="H49" i="6"/>
  <c r="K23" i="6"/>
  <c r="G24" i="6" s="1"/>
  <c r="H24" i="6" s="1"/>
  <c r="K6" i="6"/>
  <c r="I7" i="5"/>
  <c r="K7" i="5"/>
  <c r="G8" i="5" s="1"/>
  <c r="H8" i="5" s="1"/>
  <c r="I8" i="5" s="1"/>
  <c r="K8" i="5" s="1"/>
  <c r="G9" i="5" s="1"/>
  <c r="H9" i="5" s="1"/>
  <c r="A38" i="3"/>
  <c r="A35" i="3"/>
  <c r="D37" i="3"/>
  <c r="A37" i="3"/>
  <c r="C37" i="3"/>
  <c r="C34" i="3"/>
  <c r="A34" i="3"/>
  <c r="A30" i="3"/>
  <c r="C26" i="3"/>
  <c r="A29" i="3"/>
  <c r="A26" i="3"/>
  <c r="A22" i="3"/>
  <c r="A19" i="3"/>
  <c r="A16" i="3"/>
  <c r="F12" i="3"/>
  <c r="C13" i="3"/>
  <c r="H924" i="3"/>
  <c r="H782" i="3"/>
  <c r="H514" i="3"/>
  <c r="H424" i="3"/>
  <c r="H906" i="3"/>
  <c r="H972" i="3"/>
  <c r="H945" i="3"/>
  <c r="H595" i="3"/>
  <c r="H904" i="3"/>
  <c r="H409" i="3"/>
  <c r="H188" i="3"/>
  <c r="H399" i="3"/>
  <c r="H804" i="3"/>
  <c r="H329" i="3"/>
  <c r="H426" i="3"/>
  <c r="H141" i="3"/>
  <c r="H560" i="3"/>
  <c r="H262" i="3"/>
  <c r="H106" i="3"/>
  <c r="H347" i="3"/>
  <c r="H78" i="3"/>
  <c r="H296" i="3"/>
  <c r="H423" i="3"/>
  <c r="H618" i="3"/>
  <c r="H107" i="3"/>
  <c r="H308" i="3"/>
  <c r="H820" i="3"/>
  <c r="H87" i="3"/>
  <c r="H45" i="3"/>
  <c r="H852" i="3"/>
  <c r="H813" i="3"/>
  <c r="H337" i="3"/>
  <c r="H822" i="3"/>
  <c r="H183" i="3"/>
  <c r="H1001" i="3"/>
  <c r="H780" i="3"/>
  <c r="H991" i="3"/>
  <c r="H195" i="3"/>
  <c r="H249" i="3"/>
  <c r="H920" i="3"/>
  <c r="H239" i="3"/>
  <c r="H963" i="3"/>
  <c r="H472" i="3"/>
  <c r="H893" i="3"/>
  <c r="H225" i="3"/>
  <c r="H658" i="3"/>
  <c r="H263" i="3"/>
  <c r="H692" i="3"/>
  <c r="H488" i="3"/>
  <c r="H930" i="3"/>
  <c r="H809" i="3"/>
  <c r="H588" i="3"/>
  <c r="H799" i="3"/>
  <c r="H830" i="3"/>
  <c r="H314" i="3"/>
  <c r="H952" i="3"/>
  <c r="H448" i="3"/>
  <c r="H244" i="3"/>
  <c r="H536" i="3"/>
  <c r="H97" i="3"/>
  <c r="H977" i="3"/>
  <c r="H950" i="3"/>
  <c r="H385" i="3"/>
  <c r="H284" i="3"/>
  <c r="H741" i="3"/>
  <c r="H754" i="3"/>
  <c r="H120" i="3"/>
  <c r="H914" i="3"/>
  <c r="H60" i="3"/>
  <c r="H1011" i="3"/>
  <c r="H285" i="3"/>
  <c r="H272" i="3"/>
  <c r="H700" i="3"/>
  <c r="H685" i="3"/>
  <c r="H590" i="3"/>
  <c r="H350" i="3"/>
  <c r="H648" i="3"/>
  <c r="H761" i="3"/>
  <c r="H979" i="3"/>
  <c r="H132" i="3"/>
  <c r="H140" i="3"/>
  <c r="H473" i="3"/>
  <c r="H538" i="3"/>
  <c r="H591" i="3"/>
  <c r="H1022" i="3"/>
  <c r="H420" i="3"/>
  <c r="H770" i="3"/>
  <c r="H615" i="3"/>
  <c r="H133" i="3"/>
  <c r="H209" i="3"/>
  <c r="H568" i="3"/>
  <c r="H995" i="3"/>
  <c r="H983" i="3"/>
  <c r="H665" i="3"/>
  <c r="H444" i="3"/>
  <c r="H655" i="3"/>
  <c r="H99" i="3"/>
  <c r="H108" i="3"/>
  <c r="H698" i="3"/>
  <c r="H397" i="3"/>
  <c r="H816" i="3"/>
  <c r="H518" i="3"/>
  <c r="H652" i="3"/>
  <c r="H603" i="3"/>
  <c r="H334" i="3"/>
  <c r="H66" i="3"/>
  <c r="H216" i="3"/>
  <c r="H908" i="3"/>
  <c r="H363" i="3"/>
  <c r="H94" i="3"/>
  <c r="H504" i="3"/>
  <c r="H455" i="3"/>
  <c r="H917" i="3"/>
  <c r="H123" i="3"/>
  <c r="H484" i="3"/>
  <c r="H884" i="3"/>
  <c r="H103" i="3"/>
  <c r="H515" i="3"/>
  <c r="H829" i="3"/>
  <c r="H964" i="3"/>
  <c r="H71" i="3"/>
  <c r="H505" i="3"/>
  <c r="H495" i="3"/>
  <c r="H516" i="3"/>
  <c r="H281" i="3"/>
  <c r="H271" i="3"/>
  <c r="H844" i="3"/>
  <c r="H251" i="3"/>
  <c r="H248" i="3"/>
  <c r="H911" i="3"/>
  <c r="H196" i="3"/>
  <c r="H351" i="3"/>
  <c r="H619" i="3"/>
  <c r="H379" i="3"/>
  <c r="H151" i="3"/>
  <c r="H255" i="3"/>
  <c r="H168" i="3"/>
  <c r="H507" i="3"/>
  <c r="H888" i="3"/>
  <c r="H392" i="3"/>
  <c r="H1005" i="3"/>
  <c r="H121" i="3"/>
  <c r="H377" i="3"/>
  <c r="H156" i="3"/>
  <c r="H367" i="3"/>
  <c r="H500" i="3"/>
  <c r="H259" i="3"/>
  <c r="H394" i="3"/>
  <c r="H109" i="3"/>
  <c r="H528" i="3"/>
  <c r="H230" i="3"/>
  <c r="H467" i="3"/>
  <c r="H938" i="3"/>
  <c r="H1004" i="3"/>
  <c r="H993" i="3"/>
  <c r="H611" i="3"/>
  <c r="H466" i="3"/>
  <c r="H75" i="3"/>
  <c r="H1025" i="3"/>
  <c r="H644" i="3"/>
  <c r="H1030" i="3"/>
  <c r="H148" i="3"/>
  <c r="H653" i="3"/>
  <c r="H894" i="3"/>
  <c r="H578" i="3"/>
  <c r="H711" i="3"/>
  <c r="H705" i="3"/>
  <c r="H875" i="3"/>
  <c r="H606" i="3"/>
  <c r="H338" i="3"/>
  <c r="H631" i="3"/>
  <c r="H105" i="3"/>
  <c r="H635" i="3"/>
  <c r="H366" i="3"/>
  <c r="H98" i="3"/>
  <c r="H664" i="3"/>
  <c r="H330" i="3"/>
  <c r="H234" i="3"/>
  <c r="H1031" i="3"/>
  <c r="H368" i="3"/>
  <c r="H118" i="3"/>
  <c r="H1017" i="3"/>
  <c r="H796" i="3"/>
  <c r="H1039" i="3"/>
  <c r="H135" i="3"/>
  <c r="H521" i="3"/>
  <c r="H300" i="3"/>
  <c r="H511" i="3"/>
  <c r="H949" i="3"/>
  <c r="H793" i="3"/>
  <c r="H572" i="3"/>
  <c r="H783" i="3"/>
  <c r="H227" i="3"/>
  <c r="H42" i="3"/>
  <c r="H548" i="3"/>
  <c r="H176" i="3"/>
  <c r="H978" i="3"/>
  <c r="H184" i="3"/>
  <c r="H958" i="3"/>
  <c r="H801" i="3"/>
  <c r="H164" i="3"/>
  <c r="H763" i="3"/>
  <c r="H494" i="3"/>
  <c r="H226" i="3"/>
  <c r="H407" i="3"/>
  <c r="H887" i="3"/>
  <c r="H267" i="3"/>
  <c r="H104" i="3"/>
  <c r="H1009" i="3"/>
  <c r="H167" i="3"/>
  <c r="H703" i="3"/>
  <c r="H477" i="3"/>
  <c r="H51" i="3"/>
  <c r="H633" i="3"/>
  <c r="H412" i="3"/>
  <c r="H623" i="3"/>
  <c r="H67" i="3"/>
  <c r="H778" i="3"/>
  <c r="H666" i="3"/>
  <c r="H365" i="3"/>
  <c r="H784" i="3"/>
  <c r="H486" i="3"/>
  <c r="H328" i="3"/>
  <c r="H325" i="3"/>
  <c r="H321" i="3"/>
  <c r="H856" i="3"/>
  <c r="H408" i="3"/>
  <c r="H727" i="3"/>
  <c r="H331" i="3"/>
  <c r="H62" i="3"/>
  <c r="H152" i="3"/>
  <c r="H391" i="3"/>
  <c r="H965" i="3"/>
  <c r="H673" i="3"/>
  <c r="H181" i="3"/>
  <c r="H834" i="3"/>
  <c r="H723" i="3"/>
  <c r="H388" i="3"/>
  <c r="H717" i="3"/>
  <c r="H942" i="3"/>
  <c r="H594" i="3"/>
  <c r="H626" i="3"/>
  <c r="H101" i="3"/>
  <c r="H891" i="3"/>
  <c r="H622" i="3"/>
  <c r="H354" i="3"/>
  <c r="H663" i="3"/>
  <c r="H734" i="3"/>
  <c r="H490" i="3"/>
  <c r="H205" i="3"/>
  <c r="H624" i="3"/>
  <c r="H134" i="3"/>
  <c r="H577" i="3"/>
  <c r="H877" i="3"/>
  <c r="H69" i="3"/>
  <c r="H583" i="3"/>
  <c r="H777" i="3"/>
  <c r="H556" i="3"/>
  <c r="H767" i="3"/>
  <c r="H211" i="3"/>
  <c r="H650" i="3"/>
  <c r="H828" i="3"/>
  <c r="H241" i="3"/>
  <c r="H483" i="3"/>
  <c r="H298" i="3"/>
  <c r="H776" i="3"/>
  <c r="H432" i="3"/>
  <c r="H375" i="3"/>
  <c r="H219" i="3"/>
  <c r="H821" i="3"/>
  <c r="H629" i="3"/>
  <c r="H1008" i="3"/>
  <c r="H1019" i="3"/>
  <c r="H750" i="3"/>
  <c r="H482" i="3"/>
  <c r="H523" i="3"/>
  <c r="H976" i="3"/>
  <c r="H899" i="3"/>
  <c r="H953" i="3"/>
  <c r="H713" i="3"/>
  <c r="H126" i="3"/>
  <c r="H253" i="3"/>
  <c r="H889" i="3"/>
  <c r="H668" i="3"/>
  <c r="H879" i="3"/>
  <c r="H323" i="3"/>
  <c r="H1038" i="3"/>
  <c r="H833" i="3"/>
  <c r="H621" i="3"/>
  <c r="H1040" i="3"/>
  <c r="H742" i="3"/>
  <c r="H150" i="3"/>
  <c r="H154" i="3"/>
  <c r="H613" i="3"/>
  <c r="H288" i="3"/>
  <c r="H502" i="3"/>
  <c r="H728" i="3"/>
  <c r="H587" i="3"/>
  <c r="H318" i="3"/>
  <c r="H50" i="3"/>
  <c r="H40" i="3"/>
  <c r="H185" i="3"/>
  <c r="H200" i="3"/>
  <c r="H175" i="3"/>
  <c r="H867" i="3"/>
  <c r="H295" i="3"/>
  <c r="H439" i="3"/>
  <c r="H769" i="3"/>
  <c r="H421" i="3"/>
  <c r="H850" i="3"/>
  <c r="H435" i="3"/>
  <c r="H496" i="3"/>
  <c r="H765" i="3"/>
  <c r="H1006" i="3"/>
  <c r="H610" i="3"/>
  <c r="H882" i="3"/>
  <c r="H881" i="3"/>
  <c r="H826" i="3"/>
  <c r="H461" i="3"/>
  <c r="H880" i="3"/>
  <c r="H647" i="3"/>
  <c r="H584" i="3"/>
  <c r="H913" i="3"/>
  <c r="H128" i="3"/>
  <c r="H247" i="3"/>
  <c r="H1033" i="3"/>
  <c r="H812" i="3"/>
  <c r="H161" i="3"/>
  <c r="H870" i="3"/>
  <c r="H929" i="3"/>
  <c r="H989" i="3"/>
  <c r="H373" i="3"/>
  <c r="H739" i="3"/>
  <c r="H554" i="3"/>
  <c r="H269" i="3"/>
  <c r="H688" i="3"/>
  <c r="H369" i="3"/>
  <c r="H475" i="3"/>
  <c r="H206" i="3"/>
  <c r="H645" i="3"/>
  <c r="H454" i="3"/>
  <c r="H910" i="3"/>
  <c r="H961" i="3"/>
  <c r="H738" i="3"/>
  <c r="H555" i="3"/>
  <c r="H871" i="3"/>
  <c r="H567" i="3"/>
  <c r="H932" i="3"/>
  <c r="H943" i="3"/>
  <c r="H147" i="3"/>
  <c r="H858" i="3"/>
  <c r="H501" i="3"/>
  <c r="H874" i="3"/>
  <c r="H940" i="3"/>
  <c r="H849" i="3"/>
  <c r="H579" i="3"/>
  <c r="H853" i="3"/>
  <c r="H43" i="3"/>
  <c r="H689" i="3"/>
  <c r="H468" i="3"/>
  <c r="H998" i="3"/>
  <c r="H841" i="3"/>
  <c r="H410" i="3"/>
  <c r="H125" i="3"/>
  <c r="H544" i="3"/>
  <c r="H359" i="3"/>
  <c r="H333" i="3"/>
  <c r="H843" i="3"/>
  <c r="H574" i="3"/>
  <c r="H306" i="3"/>
  <c r="H86" i="3"/>
  <c r="H441" i="3"/>
  <c r="H220" i="3"/>
  <c r="H431" i="3"/>
  <c r="H85" i="3"/>
  <c r="H390" i="3"/>
  <c r="H201" i="3"/>
  <c r="H360" i="3"/>
  <c r="H191" i="3"/>
  <c r="H883" i="3"/>
  <c r="H70" i="3"/>
  <c r="H198" i="3"/>
  <c r="H897" i="3"/>
  <c r="H565" i="3"/>
  <c r="H866" i="3"/>
  <c r="H179" i="3"/>
  <c r="H531" i="3"/>
  <c r="H117" i="3"/>
  <c r="H861" i="3"/>
  <c r="H401" i="3"/>
  <c r="H787" i="3"/>
  <c r="H250" i="3"/>
  <c r="H232" i="3"/>
  <c r="H384" i="3"/>
  <c r="H630" i="3"/>
  <c r="H753" i="3"/>
  <c r="H941" i="3"/>
  <c r="H261" i="3"/>
  <c r="H690" i="3"/>
  <c r="H1016" i="3"/>
  <c r="H404" i="3"/>
  <c r="H160" i="3"/>
  <c r="H149" i="3"/>
  <c r="H954" i="3"/>
  <c r="H525" i="3"/>
  <c r="H944" i="3"/>
  <c r="H77" i="3"/>
  <c r="H731" i="3"/>
  <c r="H462" i="3"/>
  <c r="H194" i="3"/>
  <c r="H89" i="3"/>
  <c r="H309" i="3"/>
  <c r="H79" i="3"/>
  <c r="H994" i="3"/>
  <c r="H779" i="3"/>
  <c r="H345" i="3"/>
  <c r="H124" i="3"/>
  <c r="H292" i="3"/>
  <c r="H293" i="3"/>
  <c r="H49" i="3"/>
  <c r="H818" i="3"/>
  <c r="H732" i="3"/>
  <c r="H376" i="3"/>
  <c r="H492" i="3"/>
  <c r="H395" i="3"/>
  <c r="H791" i="3"/>
  <c r="H597" i="3"/>
  <c r="H948" i="3"/>
  <c r="H129" i="3"/>
  <c r="H312" i="3"/>
  <c r="H947" i="3"/>
  <c r="H215" i="3"/>
  <c r="H299" i="3"/>
  <c r="H872" i="3"/>
  <c r="H935" i="3"/>
  <c r="H311" i="3"/>
  <c r="H557" i="3"/>
  <c r="H682" i="3"/>
  <c r="H381" i="3"/>
  <c r="H800" i="3"/>
  <c r="H535" i="3"/>
  <c r="H136" i="3"/>
  <c r="H1020" i="3"/>
  <c r="H846" i="3"/>
  <c r="H562" i="3"/>
  <c r="H614" i="3"/>
  <c r="H697" i="3"/>
  <c r="H476" i="3"/>
  <c r="H687" i="3"/>
  <c r="H131" i="3"/>
  <c r="H962" i="3"/>
  <c r="H457" i="3"/>
  <c r="H236" i="3"/>
  <c r="H447" i="3"/>
  <c r="H245" i="3"/>
  <c r="H838" i="3"/>
  <c r="H217" i="3"/>
  <c r="H552" i="3"/>
  <c r="H207" i="3"/>
  <c r="H915" i="3"/>
  <c r="H532" i="3"/>
  <c r="H855" i="3"/>
  <c r="H139" i="3"/>
  <c r="H676" i="3"/>
  <c r="H996" i="3"/>
  <c r="H74" i="3"/>
  <c r="H506" i="3"/>
  <c r="H221" i="3"/>
  <c r="H640" i="3"/>
  <c r="H229" i="3"/>
  <c r="H792" i="3"/>
  <c r="H100" i="3"/>
  <c r="H144" i="3"/>
  <c r="H918" i="3"/>
  <c r="H282" i="3"/>
  <c r="H600" i="3"/>
  <c r="H416" i="3"/>
  <c r="H886" i="3"/>
  <c r="H933" i="3"/>
  <c r="H862" i="3"/>
  <c r="H737" i="3"/>
  <c r="H863" i="3"/>
  <c r="H987" i="3"/>
  <c r="H718" i="3"/>
  <c r="H450" i="3"/>
  <c r="H335" i="3"/>
  <c r="H1035" i="3"/>
  <c r="H256" i="3"/>
  <c r="H286" i="3"/>
  <c r="H680" i="3"/>
  <c r="H637" i="3"/>
  <c r="H465" i="3"/>
  <c r="H387" i="3"/>
  <c r="H808" i="3"/>
  <c r="H706" i="3"/>
  <c r="H122" i="3"/>
  <c r="H378" i="3"/>
  <c r="H93" i="3"/>
  <c r="H512" i="3"/>
  <c r="H214" i="3"/>
  <c r="H510" i="3"/>
  <c r="H811" i="3"/>
  <c r="H542" i="3"/>
  <c r="H274" i="3"/>
  <c r="H503" i="3"/>
  <c r="H819" i="3"/>
  <c r="H59" i="3"/>
  <c r="H865" i="3"/>
  <c r="H564" i="3"/>
  <c r="H599" i="3"/>
  <c r="H169" i="3"/>
  <c r="H1015" i="3"/>
  <c r="H159" i="3"/>
  <c r="H835" i="3"/>
  <c r="H646" i="3"/>
  <c r="H1002" i="3"/>
  <c r="H669" i="3"/>
  <c r="H356" i="3"/>
  <c r="H643" i="3"/>
  <c r="H491" i="3"/>
  <c r="H969" i="3"/>
  <c r="H748" i="3"/>
  <c r="H959" i="3"/>
  <c r="H403" i="3"/>
  <c r="H740" i="3"/>
  <c r="H729" i="3"/>
  <c r="H508" i="3"/>
  <c r="H719" i="3"/>
  <c r="H163" i="3"/>
  <c r="H519" i="3"/>
  <c r="H289" i="3"/>
  <c r="H651" i="3"/>
  <c r="H382" i="3"/>
  <c r="H114" i="3"/>
  <c r="H831" i="3"/>
  <c r="H277" i="3"/>
  <c r="H909" i="3"/>
  <c r="H449" i="3"/>
  <c r="H406" i="3"/>
  <c r="H522" i="3"/>
  <c r="H237" i="3"/>
  <c r="H656" i="3"/>
  <c r="H478" i="3"/>
  <c r="H922" i="3"/>
  <c r="H509" i="3"/>
  <c r="H928" i="3"/>
  <c r="H1018" i="3"/>
  <c r="H459" i="3"/>
  <c r="H190" i="3"/>
  <c r="H405" i="3"/>
  <c r="H57" i="3"/>
  <c r="H1028" i="3"/>
  <c r="H47" i="3"/>
  <c r="H199" i="3"/>
  <c r="H857" i="3"/>
  <c r="H636" i="3"/>
  <c r="H847" i="3"/>
  <c r="H291" i="3"/>
  <c r="H766" i="3"/>
  <c r="H166" i="3"/>
  <c r="H974" i="3"/>
  <c r="H434" i="3"/>
  <c r="H348" i="3"/>
  <c r="H747" i="3"/>
  <c r="H967" i="3"/>
  <c r="H301" i="3"/>
  <c r="H182" i="3"/>
  <c r="H276" i="3"/>
  <c r="H817" i="3"/>
  <c r="H438" i="3"/>
  <c r="H58" i="3"/>
  <c r="H694" i="3"/>
  <c r="H570" i="3"/>
  <c r="H617" i="3"/>
  <c r="H805" i="3"/>
  <c r="H138" i="3"/>
  <c r="H112" i="3"/>
  <c r="H208" i="3"/>
  <c r="H582" i="3"/>
  <c r="H634" i="3"/>
  <c r="H349" i="3"/>
  <c r="H768" i="3"/>
  <c r="H470" i="3"/>
  <c r="H901" i="3"/>
  <c r="H956" i="3"/>
  <c r="H798" i="3"/>
  <c r="H530" i="3"/>
  <c r="H696" i="3"/>
  <c r="H361" i="3"/>
  <c r="H315" i="3"/>
  <c r="H46" i="3"/>
  <c r="H999" i="3"/>
  <c r="H342" i="3"/>
  <c r="H425" i="3"/>
  <c r="H204" i="3"/>
  <c r="H415" i="3"/>
  <c r="H916" i="3"/>
  <c r="H357" i="3"/>
  <c r="H677" i="3"/>
  <c r="H529" i="3"/>
  <c r="H64" i="3"/>
  <c r="H228" i="3"/>
  <c r="H197" i="3"/>
  <c r="H1034" i="3"/>
  <c r="H733" i="3"/>
  <c r="H580" i="3"/>
  <c r="H659" i="3"/>
  <c r="H551" i="3"/>
  <c r="H985" i="3"/>
  <c r="H764" i="3"/>
  <c r="H975" i="3"/>
  <c r="H419" i="3"/>
  <c r="H679" i="3"/>
  <c r="H752" i="3"/>
  <c r="H907" i="3"/>
  <c r="H638" i="3"/>
  <c r="H370" i="3"/>
  <c r="H722" i="3"/>
  <c r="H155" i="3"/>
  <c r="H900" i="3"/>
  <c r="H53" i="3"/>
  <c r="H823" i="3"/>
  <c r="H890" i="3"/>
  <c r="H493" i="3"/>
  <c r="H912" i="3"/>
  <c r="H720" i="3"/>
  <c r="H693" i="3"/>
  <c r="H1021" i="3"/>
  <c r="H641" i="3"/>
  <c r="H678" i="3"/>
  <c r="H715" i="3"/>
  <c r="H446" i="3"/>
  <c r="H178" i="3"/>
  <c r="H313" i="3"/>
  <c r="H92" i="3"/>
  <c r="H303" i="3"/>
  <c r="H235" i="3"/>
  <c r="H810" i="3"/>
  <c r="H892" i="3"/>
  <c r="H593" i="3"/>
  <c r="H547" i="3"/>
  <c r="H240" i="3"/>
  <c r="H545" i="3"/>
  <c r="H971" i="3"/>
  <c r="H569" i="3"/>
  <c r="H612" i="3"/>
  <c r="H851" i="3"/>
  <c r="H346" i="3"/>
  <c r="H76" i="3"/>
  <c r="H317" i="3"/>
  <c r="H464" i="3"/>
  <c r="H714" i="3"/>
  <c r="H111" i="3"/>
  <c r="H322" i="3"/>
  <c r="H110" i="3"/>
  <c r="H707" i="3"/>
  <c r="H527" i="3"/>
  <c r="H960" i="3"/>
  <c r="H463" i="3"/>
  <c r="H672" i="3"/>
  <c r="H1000" i="3"/>
  <c r="H609" i="3"/>
  <c r="H605" i="3"/>
  <c r="H1024" i="3"/>
  <c r="H726" i="3"/>
  <c r="H710" i="3"/>
  <c r="H81" i="3"/>
  <c r="H596" i="3"/>
  <c r="H786" i="3"/>
  <c r="H1027" i="3"/>
  <c r="H485" i="3"/>
  <c r="H571" i="3"/>
  <c r="H302" i="3"/>
  <c r="H936" i="3"/>
  <c r="H358" i="3"/>
  <c r="H681" i="3"/>
  <c r="H460" i="3"/>
  <c r="H671" i="3"/>
  <c r="H115" i="3"/>
  <c r="H73" i="3"/>
  <c r="H186" i="3"/>
  <c r="H885" i="3"/>
  <c r="H320" i="3"/>
  <c r="H840" i="3"/>
  <c r="H876" i="3"/>
  <c r="H869" i="3"/>
  <c r="H625" i="3"/>
  <c r="H80" i="3"/>
  <c r="H260" i="3"/>
  <c r="H102" i="3"/>
  <c r="H113" i="3"/>
  <c r="H781" i="3"/>
  <c r="H772" i="3"/>
  <c r="H675" i="3"/>
  <c r="H451" i="3"/>
  <c r="H563" i="3"/>
  <c r="H797" i="3"/>
  <c r="H1023" i="3"/>
  <c r="H931" i="3"/>
  <c r="H934" i="3"/>
  <c r="H411" i="3"/>
  <c r="H142" i="3"/>
  <c r="H968" i="3"/>
  <c r="H586" i="3"/>
  <c r="H453" i="3"/>
  <c r="H957" i="3"/>
  <c r="H187" i="3"/>
  <c r="H389" i="3"/>
  <c r="H341" i="3"/>
  <c r="H702" i="3"/>
  <c r="H559" i="3"/>
  <c r="H990" i="3"/>
  <c r="H307" i="3"/>
  <c r="H61" i="3"/>
  <c r="H287" i="3"/>
  <c r="H709" i="3"/>
  <c r="H708" i="3"/>
  <c r="H573" i="3"/>
  <c r="H305" i="3"/>
  <c r="H280" i="3"/>
  <c r="H1026" i="3"/>
  <c r="H859" i="3"/>
  <c r="H82" i="3"/>
  <c r="H785" i="3"/>
  <c r="H44" i="3"/>
  <c r="H549" i="3"/>
  <c r="H56" i="3"/>
  <c r="H842" i="3"/>
  <c r="H266" i="3"/>
  <c r="H657" i="3"/>
  <c r="H984" i="3"/>
  <c r="H481" i="3"/>
  <c r="H324" i="3"/>
  <c r="H982" i="3"/>
  <c r="H137" i="3"/>
  <c r="H837" i="3"/>
  <c r="H127" i="3"/>
  <c r="H755" i="3"/>
  <c r="H246" i="3"/>
  <c r="H607" i="3"/>
  <c r="H827" i="3"/>
  <c r="H558" i="3"/>
  <c r="H290" i="3"/>
  <c r="H775" i="3"/>
  <c r="H937" i="3"/>
  <c r="H716" i="3"/>
  <c r="H927" i="3"/>
  <c r="H371" i="3"/>
  <c r="H620" i="3"/>
  <c r="H442" i="3"/>
  <c r="H157" i="3"/>
  <c r="H576" i="3"/>
  <c r="H278" i="3"/>
  <c r="H72" i="3"/>
  <c r="H202" i="3"/>
  <c r="H997" i="3"/>
  <c r="H336" i="3"/>
  <c r="H824" i="3"/>
  <c r="H743" i="3"/>
  <c r="H88" i="3"/>
  <c r="H721" i="3"/>
  <c r="H96" i="3"/>
  <c r="H372" i="3"/>
  <c r="H854" i="3"/>
  <c r="H807" i="3"/>
  <c r="H116" i="3"/>
  <c r="H789" i="3"/>
  <c r="H533" i="3"/>
  <c r="H873" i="3"/>
  <c r="H667" i="3"/>
  <c r="H398" i="3"/>
  <c r="H130" i="3"/>
  <c r="H868" i="3"/>
  <c r="H171" i="3"/>
  <c r="H165" i="3"/>
  <c r="H213" i="3"/>
  <c r="H362" i="3"/>
  <c r="H443" i="3"/>
  <c r="H174" i="3"/>
  <c r="H561" i="3"/>
  <c r="H498" i="3"/>
  <c r="H973" i="3"/>
  <c r="H497" i="3"/>
  <c r="H946" i="3"/>
  <c r="H825" i="3"/>
  <c r="H604" i="3"/>
  <c r="H815" i="3"/>
  <c r="H364" i="3"/>
  <c r="H90" i="3"/>
  <c r="H1012" i="3"/>
  <c r="H224" i="3"/>
  <c r="H773" i="3"/>
  <c r="H699" i="3"/>
  <c r="H162" i="3"/>
  <c r="H836" i="3"/>
  <c r="H902" i="3"/>
  <c r="H746" i="3"/>
  <c r="H417" i="3"/>
  <c r="H695" i="3"/>
  <c r="H602" i="3"/>
  <c r="H65" i="3"/>
  <c r="H222" i="3"/>
  <c r="H231" i="3"/>
  <c r="H598" i="3"/>
  <c r="H921" i="3"/>
  <c r="H355" i="3"/>
  <c r="H177" i="3"/>
  <c r="B43" i="3"/>
  <c r="H744" i="3"/>
  <c r="H343" i="3"/>
  <c r="H265" i="3"/>
  <c r="H316" i="3"/>
  <c r="H986" i="3"/>
  <c r="H759" i="3"/>
  <c r="H437" i="3"/>
  <c r="H400" i="3"/>
  <c r="H212" i="3"/>
  <c r="H283" i="3"/>
  <c r="H632" i="3"/>
  <c r="H981" i="3"/>
  <c r="H279" i="3"/>
  <c r="H393" i="3"/>
  <c r="H172" i="3"/>
  <c r="H383" i="3"/>
  <c r="H660" i="3"/>
  <c r="H758" i="3"/>
  <c r="H1010" i="3"/>
  <c r="H988" i="3"/>
  <c r="H814" i="3"/>
  <c r="H546" i="3"/>
  <c r="H52" i="3"/>
  <c r="H970" i="3"/>
  <c r="H1036" i="3"/>
  <c r="H84" i="3"/>
  <c r="H627" i="3"/>
  <c r="H319" i="3"/>
  <c r="H730" i="3"/>
  <c r="H413" i="3"/>
  <c r="H832" i="3"/>
  <c r="H534" i="3"/>
  <c r="H575" i="3"/>
  <c r="H458" i="3"/>
  <c r="H173" i="3"/>
  <c r="H592" i="3"/>
  <c r="H294" i="3"/>
  <c r="H243" i="3"/>
  <c r="H218" i="3"/>
  <c r="H951" i="3"/>
  <c r="H352" i="3"/>
  <c r="H54" i="3"/>
  <c r="H980" i="3"/>
  <c r="H233" i="3"/>
  <c r="H712" i="3"/>
  <c r="H223" i="3"/>
  <c r="H691" i="3"/>
  <c r="H589" i="3"/>
  <c r="H923" i="3"/>
  <c r="H654" i="3"/>
  <c r="H386" i="3"/>
  <c r="H513" i="3"/>
  <c r="H427" i="3"/>
  <c r="H158" i="3"/>
  <c r="H1032" i="3"/>
  <c r="H396" i="3"/>
  <c r="H430" i="3"/>
  <c r="H41" i="3"/>
  <c r="H760" i="3"/>
  <c r="H860" i="3"/>
  <c r="H480" i="3"/>
  <c r="H736" i="3"/>
  <c r="H192" i="3"/>
  <c r="H704" i="3"/>
  <c r="H771" i="3"/>
  <c r="H63" i="3"/>
  <c r="H774" i="3"/>
  <c r="H254" i="3"/>
  <c r="H456" i="3"/>
  <c r="H487" i="3"/>
  <c r="H751" i="3"/>
  <c r="H537" i="3"/>
  <c r="H541" i="3"/>
  <c r="H252" i="3"/>
  <c r="H1003" i="3"/>
  <c r="H601" i="3"/>
  <c r="H539" i="3"/>
  <c r="H270" i="3"/>
  <c r="H440" i="3"/>
  <c r="H839" i="3"/>
  <c r="H649" i="3"/>
  <c r="H428" i="3"/>
  <c r="H639" i="3"/>
  <c r="H83" i="3"/>
  <c r="H1014" i="3"/>
  <c r="H919" i="3"/>
  <c r="H273" i="3"/>
  <c r="H756" i="3"/>
  <c r="H802" i="3"/>
  <c r="H327" i="3"/>
  <c r="H517" i="3"/>
  <c r="H433" i="3"/>
  <c r="H48" i="3"/>
  <c r="H68" i="3"/>
  <c r="H210" i="3"/>
  <c r="H436" i="3"/>
  <c r="H701" i="3"/>
  <c r="H193" i="3"/>
  <c r="H790" i="3"/>
  <c r="H725" i="3"/>
  <c r="H762" i="3"/>
  <c r="H429" i="3"/>
  <c r="H848" i="3"/>
  <c r="H550" i="3"/>
  <c r="H520" i="3"/>
  <c r="H474" i="3"/>
  <c r="H189" i="3"/>
  <c r="H608" i="3"/>
  <c r="H310" i="3"/>
  <c r="H374" i="3"/>
  <c r="H489" i="3"/>
  <c r="H268" i="3"/>
  <c r="H479" i="3"/>
  <c r="H326" i="3"/>
  <c r="H264" i="3"/>
  <c r="H845" i="3"/>
  <c r="H145" i="3"/>
  <c r="H642" i="3"/>
  <c r="H275" i="3"/>
  <c r="H683" i="3"/>
  <c r="H414" i="3"/>
  <c r="H146" i="3"/>
  <c r="H95" i="3"/>
  <c r="H955" i="3"/>
  <c r="H686" i="3"/>
  <c r="H418" i="3"/>
  <c r="H297" i="3"/>
  <c r="H878" i="3"/>
  <c r="H661" i="3"/>
  <c r="H540" i="3"/>
  <c r="H238" i="3"/>
  <c r="H896" i="3"/>
  <c r="H380" i="3"/>
  <c r="H795" i="3"/>
  <c r="H526" i="3"/>
  <c r="H258" i="3"/>
  <c r="H471" i="3"/>
  <c r="H905" i="3"/>
  <c r="H684" i="3"/>
  <c r="H895" i="3"/>
  <c r="H339" i="3"/>
  <c r="H903" i="3"/>
  <c r="H153" i="3"/>
  <c r="H1013" i="3"/>
  <c r="H143" i="3"/>
  <c r="H803" i="3"/>
  <c r="H662" i="3"/>
  <c r="H170" i="3"/>
  <c r="H757" i="3"/>
  <c r="H304" i="3"/>
  <c r="H616" i="3"/>
  <c r="H422" i="3"/>
  <c r="H91" i="3"/>
  <c r="H180" i="3"/>
  <c r="H724" i="3"/>
  <c r="H55" i="3"/>
  <c r="H581" i="3"/>
  <c r="H628" i="3"/>
  <c r="H749" i="3"/>
  <c r="H257" i="3"/>
  <c r="H806" i="3"/>
  <c r="H452" i="3"/>
  <c r="H794" i="3"/>
  <c r="H445" i="3"/>
  <c r="H864" i="3"/>
  <c r="H566" i="3"/>
  <c r="H499" i="3"/>
  <c r="H745" i="3"/>
  <c r="H524" i="3"/>
  <c r="H735" i="3"/>
  <c r="H119" i="3"/>
  <c r="H966" i="3"/>
  <c r="H340" i="3"/>
  <c r="H1029" i="3"/>
  <c r="H898" i="3"/>
  <c r="H788" i="3"/>
  <c r="H939" i="3"/>
  <c r="H670" i="3"/>
  <c r="H402" i="3"/>
  <c r="H242" i="3"/>
  <c r="H925" i="3"/>
  <c r="H353" i="3"/>
  <c r="H674" i="3"/>
  <c r="H553" i="3"/>
  <c r="H332" i="3"/>
  <c r="H543" i="3"/>
  <c r="H585" i="3"/>
  <c r="H992" i="3"/>
  <c r="H469" i="3"/>
  <c r="H344" i="3"/>
  <c r="H1037" i="3"/>
  <c r="H926" i="3"/>
  <c r="H203" i="3"/>
  <c r="H1007" i="3"/>
  <c r="I830" i="10" l="1"/>
  <c r="K829" i="10"/>
  <c r="I873" i="10"/>
  <c r="K873" i="10"/>
  <c r="I962" i="10"/>
  <c r="K962" i="10"/>
  <c r="K963" i="10"/>
  <c r="I963" i="10"/>
  <c r="K183" i="10"/>
  <c r="I183" i="10"/>
  <c r="I300" i="10"/>
  <c r="K300" i="10"/>
  <c r="I59" i="10"/>
  <c r="K59" i="10"/>
  <c r="I826" i="10"/>
  <c r="K826" i="10"/>
  <c r="I397" i="10"/>
  <c r="K397" i="10"/>
  <c r="K179" i="10"/>
  <c r="I179" i="10"/>
  <c r="K131" i="10"/>
  <c r="I131" i="10"/>
  <c r="I729" i="10"/>
  <c r="K729" i="10"/>
  <c r="K148" i="10"/>
  <c r="I148" i="10"/>
  <c r="I316" i="10"/>
  <c r="K316" i="10"/>
  <c r="I1004" i="10"/>
  <c r="K1004" i="10"/>
  <c r="I804" i="10"/>
  <c r="K804" i="10"/>
  <c r="I440" i="10"/>
  <c r="K440" i="10"/>
  <c r="I890" i="10"/>
  <c r="K890" i="10"/>
  <c r="I299" i="10"/>
  <c r="K299" i="10"/>
  <c r="I593" i="10"/>
  <c r="K593" i="10"/>
  <c r="I566" i="10"/>
  <c r="K566" i="10"/>
  <c r="K144" i="10"/>
  <c r="I144" i="10"/>
  <c r="I161" i="10"/>
  <c r="K161" i="10"/>
  <c r="I876" i="10"/>
  <c r="K876" i="10"/>
  <c r="K53" i="10"/>
  <c r="I53" i="10"/>
  <c r="I81" i="10"/>
  <c r="K81" i="10"/>
  <c r="I699" i="10"/>
  <c r="K699" i="10"/>
  <c r="I611" i="10"/>
  <c r="K611" i="10"/>
  <c r="I492" i="10"/>
  <c r="K492" i="10"/>
  <c r="I337" i="10"/>
  <c r="K337" i="10"/>
  <c r="K15" i="10"/>
  <c r="I15" i="10"/>
  <c r="I711" i="10"/>
  <c r="K711" i="10"/>
  <c r="I825" i="10"/>
  <c r="K825" i="10"/>
  <c r="I330" i="10"/>
  <c r="K330" i="10"/>
  <c r="I732" i="10"/>
  <c r="K732" i="10"/>
  <c r="I807" i="10"/>
  <c r="K807" i="10"/>
  <c r="I874" i="10"/>
  <c r="K874" i="10"/>
  <c r="I282" i="10"/>
  <c r="K282" i="10"/>
  <c r="I30" i="10"/>
  <c r="K30" i="10"/>
  <c r="I490" i="10"/>
  <c r="K490" i="10"/>
  <c r="I49" i="10"/>
  <c r="K49" i="10"/>
  <c r="I896" i="10"/>
  <c r="K896" i="10"/>
  <c r="I205" i="10"/>
  <c r="K205" i="10"/>
  <c r="I504" i="10"/>
  <c r="K504" i="10"/>
  <c r="I221" i="10"/>
  <c r="K221" i="10"/>
  <c r="I683" i="10"/>
  <c r="K683" i="10"/>
  <c r="I539" i="10"/>
  <c r="K539" i="10"/>
  <c r="I56" i="10"/>
  <c r="K56" i="10"/>
  <c r="I682" i="10"/>
  <c r="K682" i="10"/>
  <c r="I78" i="10"/>
  <c r="K78" i="10"/>
  <c r="K150" i="10"/>
  <c r="I150" i="10"/>
  <c r="I591" i="10"/>
  <c r="K591" i="10"/>
  <c r="I546" i="10"/>
  <c r="K546" i="10"/>
  <c r="I253" i="10"/>
  <c r="K253" i="10"/>
  <c r="K23" i="10"/>
  <c r="I23" i="10"/>
  <c r="I574" i="10"/>
  <c r="K574" i="10"/>
  <c r="I1006" i="10"/>
  <c r="K1006" i="10"/>
  <c r="K164" i="10"/>
  <c r="I164" i="10"/>
  <c r="I269" i="10"/>
  <c r="K269" i="10"/>
  <c r="I41" i="10"/>
  <c r="K41" i="10"/>
  <c r="I590" i="10"/>
  <c r="K590" i="10"/>
  <c r="I495" i="10"/>
  <c r="K495" i="10"/>
  <c r="I541" i="10"/>
  <c r="K541" i="10"/>
  <c r="I332" i="10"/>
  <c r="K332" i="10"/>
  <c r="I284" i="10"/>
  <c r="K284" i="10"/>
  <c r="I311" i="10"/>
  <c r="K311" i="10"/>
  <c r="I655" i="10"/>
  <c r="K655" i="10"/>
  <c r="I746" i="10"/>
  <c r="K746" i="10"/>
  <c r="I218" i="10"/>
  <c r="K218" i="10"/>
  <c r="K31" i="10"/>
  <c r="I31" i="10"/>
  <c r="K501" i="10"/>
  <c r="I501" i="10"/>
  <c r="I892" i="10"/>
  <c r="K892" i="10"/>
  <c r="I354" i="10"/>
  <c r="K354" i="10"/>
  <c r="K772" i="10"/>
  <c r="I772" i="10"/>
  <c r="K245" i="10"/>
  <c r="I245" i="10"/>
  <c r="I652" i="10"/>
  <c r="K652" i="10"/>
  <c r="K98" i="10"/>
  <c r="I98" i="10"/>
  <c r="I109" i="10"/>
  <c r="K109" i="10"/>
  <c r="I383" i="10"/>
  <c r="K383" i="10"/>
  <c r="K420" i="10"/>
  <c r="I420" i="10"/>
  <c r="I322" i="10"/>
  <c r="K322" i="10"/>
  <c r="I124" i="10"/>
  <c r="K124" i="10"/>
  <c r="I222" i="10"/>
  <c r="K222" i="10"/>
  <c r="I280" i="10"/>
  <c r="K280" i="10"/>
  <c r="I715" i="10"/>
  <c r="K715" i="10"/>
  <c r="K82" i="10"/>
  <c r="I82" i="10"/>
  <c r="I140" i="10"/>
  <c r="K140" i="10"/>
  <c r="I915" i="10"/>
  <c r="K915" i="10"/>
  <c r="K516" i="10"/>
  <c r="I516" i="10"/>
  <c r="I694" i="10"/>
  <c r="K694" i="10"/>
  <c r="K39" i="10"/>
  <c r="I39" i="10"/>
  <c r="I452" i="10"/>
  <c r="K452" i="10"/>
  <c r="K404" i="10"/>
  <c r="I404" i="10"/>
  <c r="I654" i="10"/>
  <c r="K654" i="10"/>
  <c r="I522" i="10"/>
  <c r="K522" i="10"/>
  <c r="I65" i="10"/>
  <c r="K65" i="10"/>
  <c r="I898" i="10"/>
  <c r="K898" i="10"/>
  <c r="I400" i="10"/>
  <c r="K400" i="10"/>
  <c r="I572" i="10"/>
  <c r="K572" i="10"/>
  <c r="I916" i="10"/>
  <c r="K916" i="10"/>
  <c r="K19" i="10"/>
  <c r="I19" i="10"/>
  <c r="I589" i="10"/>
  <c r="K589" i="10"/>
  <c r="I595" i="10"/>
  <c r="K595" i="10"/>
  <c r="K54" i="10"/>
  <c r="I54" i="10"/>
  <c r="I695" i="10"/>
  <c r="I345" i="10"/>
  <c r="K345" i="10"/>
  <c r="K146" i="10"/>
  <c r="I146" i="10"/>
  <c r="I540" i="10"/>
  <c r="I547" i="10"/>
  <c r="K291" i="10"/>
  <c r="I291" i="10"/>
  <c r="K247" i="10"/>
  <c r="I247" i="10"/>
  <c r="I568" i="10"/>
  <c r="K568" i="10"/>
  <c r="I602" i="10"/>
  <c r="K602" i="10"/>
  <c r="I988" i="10"/>
  <c r="K988" i="10"/>
  <c r="I11" i="10"/>
  <c r="K11" i="10"/>
  <c r="I491" i="10"/>
  <c r="K491" i="10"/>
  <c r="I92" i="10"/>
  <c r="K92" i="10"/>
  <c r="I348" i="10"/>
  <c r="K348" i="10"/>
  <c r="I461" i="10"/>
  <c r="K461" i="10"/>
  <c r="I472" i="10"/>
  <c r="K472" i="10"/>
  <c r="I477" i="10"/>
  <c r="K477" i="10"/>
  <c r="I264" i="10"/>
  <c r="K264" i="10"/>
  <c r="I216" i="10"/>
  <c r="K216" i="10"/>
  <c r="I768" i="10"/>
  <c r="K768" i="10"/>
  <c r="I938" i="10"/>
  <c r="K938" i="10"/>
  <c r="I351" i="10"/>
  <c r="K351" i="10"/>
  <c r="K100" i="10"/>
  <c r="I100" i="10"/>
  <c r="K407" i="10"/>
  <c r="I407" i="10"/>
  <c r="K18" i="10"/>
  <c r="I18" i="10"/>
  <c r="I298" i="10"/>
  <c r="K298" i="10"/>
  <c r="I250" i="10"/>
  <c r="K250" i="10"/>
  <c r="I751" i="10"/>
  <c r="K751" i="10"/>
  <c r="I525" i="10"/>
  <c r="K525" i="10"/>
  <c r="I315" i="10"/>
  <c r="K315" i="10"/>
  <c r="I267" i="10"/>
  <c r="K267" i="10"/>
  <c r="I171" i="10"/>
  <c r="K171" i="10"/>
  <c r="K194" i="10"/>
  <c r="I194" i="10"/>
  <c r="I604" i="10"/>
  <c r="K604" i="10"/>
  <c r="I210" i="10"/>
  <c r="K210" i="10"/>
  <c r="I1002" i="10"/>
  <c r="K1002" i="10"/>
  <c r="I1003" i="10"/>
  <c r="I168" i="10"/>
  <c r="K168" i="10"/>
  <c r="I633" i="10"/>
  <c r="K633" i="10"/>
  <c r="I762" i="10"/>
  <c r="K762" i="10"/>
  <c r="K163" i="10"/>
  <c r="I163" i="10"/>
  <c r="I235" i="10"/>
  <c r="K235" i="10"/>
  <c r="I710" i="10"/>
  <c r="K710" i="10"/>
  <c r="K101" i="10"/>
  <c r="I101" i="10"/>
  <c r="I411" i="10"/>
  <c r="K411" i="10"/>
  <c r="I518" i="10"/>
  <c r="K518" i="10"/>
  <c r="I908" i="10"/>
  <c r="K908" i="10"/>
  <c r="I371" i="10"/>
  <c r="K371" i="10"/>
  <c r="I349" i="10"/>
  <c r="K349" i="10"/>
  <c r="I365" i="10"/>
  <c r="K365" i="10"/>
  <c r="I145" i="10"/>
  <c r="K145" i="10"/>
  <c r="K324" i="10"/>
  <c r="I324" i="10"/>
  <c r="I417" i="10"/>
  <c r="K417" i="10"/>
  <c r="K162" i="10"/>
  <c r="I162" i="10"/>
  <c r="I57" i="10"/>
  <c r="K57" i="10"/>
  <c r="I268" i="10"/>
  <c r="K268" i="10"/>
  <c r="I8" i="10"/>
  <c r="K8" i="10"/>
  <c r="I228" i="10"/>
  <c r="K228" i="10"/>
  <c r="I569" i="10"/>
  <c r="K569" i="10"/>
  <c r="K103" i="10"/>
  <c r="I103" i="10"/>
  <c r="I290" i="10"/>
  <c r="K290" i="10"/>
  <c r="I716" i="10"/>
  <c r="K716" i="10"/>
  <c r="K166" i="10"/>
  <c r="I166" i="10"/>
  <c r="I234" i="10"/>
  <c r="K234" i="10"/>
  <c r="I494" i="10"/>
  <c r="K494" i="10"/>
  <c r="I366" i="10"/>
  <c r="K366" i="10"/>
  <c r="K934" i="10"/>
  <c r="I934" i="10"/>
  <c r="I75" i="10"/>
  <c r="K75" i="10"/>
  <c r="I232" i="10"/>
  <c r="K232" i="10"/>
  <c r="I136" i="10"/>
  <c r="K136" i="10"/>
  <c r="I398" i="10"/>
  <c r="K102" i="10"/>
  <c r="I102" i="10"/>
  <c r="I509" i="10"/>
  <c r="K509" i="10"/>
  <c r="I46" i="10"/>
  <c r="K46" i="10"/>
  <c r="I419" i="10"/>
  <c r="K419" i="10"/>
  <c r="K197" i="10"/>
  <c r="I197" i="10"/>
  <c r="I97" i="10"/>
  <c r="K97" i="10"/>
  <c r="I432" i="10"/>
  <c r="K432" i="10"/>
  <c r="K277" i="10"/>
  <c r="I277" i="10"/>
  <c r="I464" i="10"/>
  <c r="K464" i="10"/>
  <c r="I313" i="10"/>
  <c r="K313" i="10"/>
  <c r="I858" i="10"/>
  <c r="K858" i="10"/>
  <c r="I265" i="10"/>
  <c r="K265" i="10"/>
  <c r="I460" i="10"/>
  <c r="K460" i="10"/>
  <c r="I215" i="10"/>
  <c r="K215" i="10"/>
  <c r="I632" i="10"/>
  <c r="K632" i="10"/>
  <c r="I840" i="10"/>
  <c r="K840" i="10"/>
  <c r="I42" i="10"/>
  <c r="K42" i="10"/>
  <c r="I258" i="10"/>
  <c r="K258" i="10"/>
  <c r="I108" i="10"/>
  <c r="K108" i="10"/>
  <c r="K66" i="10"/>
  <c r="I66" i="10"/>
  <c r="I537" i="10"/>
  <c r="K537" i="10"/>
  <c r="I312" i="10"/>
  <c r="K312" i="10"/>
  <c r="I734" i="10"/>
  <c r="K734" i="10"/>
  <c r="K485" i="10"/>
  <c r="I485" i="10"/>
  <c r="I7" i="10"/>
  <c r="K7" i="10"/>
  <c r="I862" i="10"/>
  <c r="K862" i="10"/>
  <c r="I380" i="10"/>
  <c r="K380" i="10"/>
  <c r="K160" i="10"/>
  <c r="I160" i="10"/>
  <c r="I571" i="10"/>
  <c r="K571" i="10"/>
  <c r="I9" i="10"/>
  <c r="K9" i="10"/>
  <c r="K208" i="10"/>
  <c r="I208" i="10"/>
  <c r="I754" i="10"/>
  <c r="K754" i="10"/>
  <c r="I106" i="10"/>
  <c r="K106" i="10"/>
  <c r="I588" i="10"/>
  <c r="K588" i="10"/>
  <c r="I27" i="10"/>
  <c r="K27" i="10"/>
  <c r="I860" i="10"/>
  <c r="K860" i="10"/>
  <c r="I320" i="10"/>
  <c r="K320" i="10"/>
  <c r="I570" i="10"/>
  <c r="K570" i="10"/>
  <c r="K79" i="10"/>
  <c r="I79" i="10"/>
  <c r="I690" i="10"/>
  <c r="K690" i="10"/>
  <c r="I174" i="10"/>
  <c r="K174" i="10"/>
  <c r="I58" i="10"/>
  <c r="K58" i="10"/>
  <c r="K436" i="10"/>
  <c r="I436" i="10"/>
  <c r="I185" i="10"/>
  <c r="K185" i="10"/>
  <c r="I968" i="10"/>
  <c r="K968" i="10"/>
  <c r="I668" i="10"/>
  <c r="K668" i="10"/>
  <c r="I778" i="10"/>
  <c r="K778" i="10"/>
  <c r="I180" i="10"/>
  <c r="K180" i="10"/>
  <c r="I252" i="10"/>
  <c r="K252" i="10"/>
  <c r="I672" i="10"/>
  <c r="K672" i="10"/>
  <c r="I924" i="10"/>
  <c r="K924" i="10"/>
  <c r="I925" i="10"/>
  <c r="I735" i="10"/>
  <c r="K735" i="10"/>
  <c r="I736" i="10"/>
  <c r="K47" i="10"/>
  <c r="I47" i="10"/>
  <c r="I418" i="10"/>
  <c r="K418" i="10"/>
  <c r="I370" i="10"/>
  <c r="K370" i="10"/>
  <c r="I713" i="10"/>
  <c r="K713" i="10"/>
  <c r="I700" i="10"/>
  <c r="K700" i="10"/>
  <c r="I780" i="10"/>
  <c r="K780" i="10"/>
  <c r="K147" i="10"/>
  <c r="I147" i="10"/>
  <c r="I555" i="10"/>
  <c r="K555" i="10"/>
  <c r="I586" i="10"/>
  <c r="K586" i="10"/>
  <c r="I972" i="10"/>
  <c r="K972" i="10"/>
  <c r="K48" i="10"/>
  <c r="I48" i="10"/>
  <c r="I935" i="10"/>
  <c r="I462" i="10"/>
  <c r="K462" i="10"/>
  <c r="I781" i="10"/>
  <c r="I952" i="10"/>
  <c r="K952" i="10"/>
  <c r="I338" i="10"/>
  <c r="I717" i="10"/>
  <c r="I40" i="10"/>
  <c r="K40" i="10"/>
  <c r="K67" i="10"/>
  <c r="I67" i="10"/>
  <c r="I189" i="10"/>
  <c r="K189" i="10"/>
  <c r="I619" i="10"/>
  <c r="K619" i="10"/>
  <c r="I505" i="10"/>
  <c r="K505" i="10"/>
  <c r="I50" i="10"/>
  <c r="I126" i="10"/>
  <c r="K126" i="10"/>
  <c r="I489" i="10"/>
  <c r="K489" i="10"/>
  <c r="I575" i="10"/>
  <c r="I755" i="10"/>
  <c r="I177" i="10"/>
  <c r="K177" i="10"/>
  <c r="I467" i="10"/>
  <c r="K467" i="10"/>
  <c r="K33" i="10"/>
  <c r="I33" i="10"/>
  <c r="I788" i="10"/>
  <c r="K788" i="10"/>
  <c r="I733" i="10"/>
  <c r="K733" i="10"/>
  <c r="I787" i="10"/>
  <c r="K787" i="10"/>
  <c r="I435" i="10"/>
  <c r="K435" i="10"/>
  <c r="I618" i="10"/>
  <c r="K618" i="10"/>
  <c r="K114" i="10"/>
  <c r="I114" i="10"/>
  <c r="K293" i="10"/>
  <c r="I293" i="10"/>
  <c r="I691" i="10"/>
  <c r="K691" i="10"/>
  <c r="I139" i="10"/>
  <c r="K139" i="10"/>
  <c r="I331" i="10"/>
  <c r="K331" i="10"/>
  <c r="I538" i="10"/>
  <c r="K538" i="10"/>
  <c r="I173" i="10"/>
  <c r="K173" i="10"/>
  <c r="I587" i="10"/>
  <c r="K587" i="10"/>
  <c r="I488" i="10"/>
  <c r="K488" i="10"/>
  <c r="I514" i="10"/>
  <c r="K514" i="10"/>
  <c r="I249" i="10"/>
  <c r="K249" i="10"/>
  <c r="I615" i="10"/>
  <c r="K615" i="10"/>
  <c r="I382" i="10"/>
  <c r="K382" i="10"/>
  <c r="I105" i="10"/>
  <c r="K105" i="10"/>
  <c r="I399" i="10"/>
  <c r="K399" i="10"/>
  <c r="I796" i="10"/>
  <c r="K796" i="10"/>
  <c r="K951" i="10"/>
  <c r="I951" i="10"/>
  <c r="I794" i="10"/>
  <c r="K794" i="10"/>
  <c r="K127" i="10"/>
  <c r="I127" i="10"/>
  <c r="I283" i="10"/>
  <c r="K283" i="10"/>
  <c r="I544" i="10"/>
  <c r="K544" i="10"/>
  <c r="K135" i="10"/>
  <c r="I135" i="10"/>
  <c r="K32" i="10"/>
  <c r="I32" i="10"/>
  <c r="I712" i="10"/>
  <c r="K712" i="10"/>
  <c r="I433" i="10"/>
  <c r="K433" i="10"/>
  <c r="I828" i="10"/>
  <c r="K828" i="10"/>
  <c r="I829" i="10"/>
  <c r="I286" i="10"/>
  <c r="K286" i="10"/>
  <c r="I841" i="10"/>
  <c r="K841" i="10"/>
  <c r="I405" i="10"/>
  <c r="I93" i="10"/>
  <c r="K93" i="10"/>
  <c r="I523" i="10"/>
  <c r="K523" i="10"/>
  <c r="I450" i="10"/>
  <c r="K450" i="10"/>
  <c r="I844" i="10"/>
  <c r="K844" i="10"/>
  <c r="I303" i="10"/>
  <c r="K303" i="10"/>
  <c r="I674" i="10"/>
  <c r="K674" i="10"/>
  <c r="I730" i="10"/>
  <c r="K730" i="10"/>
  <c r="I201" i="10"/>
  <c r="K201" i="10"/>
  <c r="I45" i="10"/>
  <c r="K45" i="10"/>
  <c r="K229" i="10"/>
  <c r="I229" i="10"/>
  <c r="I352" i="10"/>
  <c r="K352" i="10"/>
  <c r="I631" i="10"/>
  <c r="K631" i="10"/>
  <c r="I603" i="10"/>
  <c r="K603" i="10"/>
  <c r="K96" i="10"/>
  <c r="I96" i="10"/>
  <c r="I770" i="10"/>
  <c r="K770" i="10"/>
  <c r="I671" i="10"/>
  <c r="K671" i="10"/>
  <c r="I388" i="10"/>
  <c r="K388" i="10"/>
  <c r="K178" i="10"/>
  <c r="I178" i="10"/>
  <c r="I453" i="10"/>
  <c r="K453" i="10"/>
  <c r="I202" i="10"/>
  <c r="K202" i="10"/>
  <c r="I270" i="10"/>
  <c r="K270" i="10"/>
  <c r="K356" i="10"/>
  <c r="I356" i="10"/>
  <c r="K279" i="10"/>
  <c r="I279" i="10"/>
  <c r="I684" i="10"/>
  <c r="K684" i="10"/>
  <c r="K132" i="10"/>
  <c r="I132" i="10"/>
  <c r="I956" i="10"/>
  <c r="K956" i="10"/>
  <c r="I266" i="10"/>
  <c r="K266" i="10"/>
  <c r="I845" i="10"/>
  <c r="K845" i="10"/>
  <c r="I842" i="10"/>
  <c r="K842" i="10"/>
  <c r="I321" i="10"/>
  <c r="K321" i="10"/>
  <c r="I543" i="10"/>
  <c r="K543" i="10"/>
  <c r="I408" i="10"/>
  <c r="K408" i="10"/>
  <c r="I209" i="10"/>
  <c r="K209" i="10"/>
  <c r="I172" i="10"/>
  <c r="K172" i="10"/>
  <c r="I387" i="10"/>
  <c r="K387" i="10"/>
  <c r="I445" i="10"/>
  <c r="K445" i="10"/>
  <c r="K230" i="10"/>
  <c r="I230" i="10"/>
  <c r="K182" i="10"/>
  <c r="I182" i="10"/>
  <c r="K262" i="10"/>
  <c r="I262" i="10"/>
  <c r="I142" i="10"/>
  <c r="K142" i="10"/>
  <c r="I251" i="10"/>
  <c r="K251" i="10"/>
  <c r="I355" i="10"/>
  <c r="K355" i="10"/>
  <c r="K70" i="10"/>
  <c r="I70" i="10"/>
  <c r="I129" i="10"/>
  <c r="K129" i="10"/>
  <c r="I594" i="10"/>
  <c r="K594" i="10"/>
  <c r="I439" i="10"/>
  <c r="K439" i="10"/>
  <c r="I614" i="10"/>
  <c r="K614" i="10"/>
  <c r="K950" i="10"/>
  <c r="I950" i="10"/>
  <c r="I231" i="10"/>
  <c r="K231" i="10"/>
  <c r="I416" i="10"/>
  <c r="K416" i="10"/>
  <c r="I376" i="10"/>
  <c r="K376" i="10"/>
  <c r="K692" i="10"/>
  <c r="I692" i="10"/>
  <c r="I14" i="10"/>
  <c r="K14" i="10"/>
  <c r="I248" i="10"/>
  <c r="K248" i="10"/>
  <c r="I515" i="10"/>
  <c r="K515" i="10"/>
  <c r="K198" i="10"/>
  <c r="I198" i="10"/>
  <c r="K128" i="10"/>
  <c r="I128" i="10"/>
  <c r="I429" i="10"/>
  <c r="K429" i="10"/>
  <c r="K213" i="10"/>
  <c r="I213" i="10"/>
  <c r="K165" i="10"/>
  <c r="I165" i="10"/>
  <c r="I199" i="10"/>
  <c r="K199" i="10"/>
  <c r="I650" i="10"/>
  <c r="K650" i="10"/>
  <c r="I753" i="10"/>
  <c r="K753" i="10"/>
  <c r="I666" i="10"/>
  <c r="K666" i="10"/>
  <c r="I60" i="10"/>
  <c r="K60" i="10"/>
  <c r="K133" i="10"/>
  <c r="I133" i="10"/>
  <c r="I377" i="10"/>
  <c r="K377" i="10"/>
  <c r="I463" i="10"/>
  <c r="K463" i="10"/>
  <c r="I470" i="10"/>
  <c r="K470" i="10"/>
  <c r="K69" i="10"/>
  <c r="I69" i="10"/>
  <c r="I237" i="10"/>
  <c r="K237" i="10"/>
  <c r="I556" i="10"/>
  <c r="K556" i="10"/>
  <c r="K16" i="10"/>
  <c r="I16" i="10"/>
  <c r="I667" i="10"/>
  <c r="K667" i="10"/>
  <c r="I698" i="10"/>
  <c r="K698" i="10"/>
  <c r="K95" i="10"/>
  <c r="I95" i="10"/>
  <c r="K167" i="10"/>
  <c r="I167" i="10"/>
  <c r="I879" i="10"/>
  <c r="K879" i="10"/>
  <c r="I89" i="10"/>
  <c r="K89" i="10"/>
  <c r="I401" i="10"/>
  <c r="K401" i="10"/>
  <c r="K68" i="10"/>
  <c r="I68" i="10"/>
  <c r="I714" i="10"/>
  <c r="K714" i="10"/>
  <c r="K112" i="10"/>
  <c r="I112" i="10"/>
  <c r="I184" i="10"/>
  <c r="K184" i="10"/>
  <c r="K20" i="10"/>
  <c r="I20" i="10"/>
  <c r="I255" i="10"/>
  <c r="K255" i="10"/>
  <c r="I986" i="10"/>
  <c r="K986" i="10"/>
  <c r="I402" i="10"/>
  <c r="K402" i="10"/>
  <c r="K151" i="10"/>
  <c r="I151" i="10"/>
  <c r="I535" i="10"/>
  <c r="K535" i="10"/>
  <c r="I808" i="10"/>
  <c r="K808" i="10"/>
  <c r="I301" i="10"/>
  <c r="K301" i="10"/>
  <c r="I76" i="10"/>
  <c r="K76" i="10"/>
  <c r="I26" i="10"/>
  <c r="K26" i="10"/>
  <c r="I304" i="10"/>
  <c r="K304" i="10"/>
  <c r="I61" i="10"/>
  <c r="K61" i="10"/>
  <c r="K263" i="10"/>
  <c r="I263" i="10"/>
  <c r="I369" i="10"/>
  <c r="K369" i="10"/>
  <c r="I409" i="10"/>
  <c r="K409" i="10"/>
  <c r="K243" i="10"/>
  <c r="I243" i="10"/>
  <c r="I630" i="10"/>
  <c r="K630" i="10"/>
  <c r="I137" i="10"/>
  <c r="K137" i="10"/>
  <c r="I635" i="10"/>
  <c r="K635" i="10"/>
  <c r="I752" i="10"/>
  <c r="K752" i="10"/>
  <c r="K932" i="10"/>
  <c r="I932" i="10"/>
  <c r="I552" i="10"/>
  <c r="K552" i="10"/>
  <c r="I545" i="10"/>
  <c r="K545" i="10"/>
  <c r="I288" i="10"/>
  <c r="K288" i="10"/>
  <c r="I13" i="10"/>
  <c r="K13" i="10"/>
  <c r="I636" i="10"/>
  <c r="K636" i="10"/>
  <c r="I384" i="10"/>
  <c r="K384" i="10"/>
  <c r="K517" i="10"/>
  <c r="I517" i="10"/>
  <c r="I297" i="10"/>
  <c r="K297" i="10"/>
  <c r="I521" i="10"/>
  <c r="K521" i="10"/>
  <c r="I971" i="10"/>
  <c r="K971" i="10"/>
  <c r="I542" i="10"/>
  <c r="K542" i="10"/>
  <c r="K80" i="10"/>
  <c r="I80" i="10"/>
  <c r="K22" i="10"/>
  <c r="I22" i="10"/>
  <c r="I656" i="10"/>
  <c r="K656" i="10"/>
  <c r="I657" i="10"/>
  <c r="I875" i="10"/>
  <c r="I637" i="10"/>
  <c r="K637" i="10"/>
  <c r="I91" i="10"/>
  <c r="K91" i="10"/>
  <c r="I455" i="10"/>
  <c r="K455" i="10"/>
  <c r="I822" i="10"/>
  <c r="K822" i="10"/>
  <c r="K115" i="10"/>
  <c r="I115" i="10"/>
  <c r="I138" i="10"/>
  <c r="K138" i="10"/>
  <c r="I989" i="10"/>
  <c r="I731" i="10"/>
  <c r="K731" i="10"/>
  <c r="I805" i="10"/>
  <c r="K805" i="10"/>
  <c r="I323" i="10"/>
  <c r="K323" i="10"/>
  <c r="I496" i="10"/>
  <c r="I1005" i="10"/>
  <c r="I877" i="10"/>
  <c r="I113" i="10"/>
  <c r="K113" i="10"/>
  <c r="I649" i="10"/>
  <c r="K649" i="10"/>
  <c r="I940" i="10"/>
  <c r="K940" i="10"/>
  <c r="I10" i="10"/>
  <c r="K10" i="10"/>
  <c r="I524" i="10"/>
  <c r="I469" i="10"/>
  <c r="K469" i="10"/>
  <c r="I110" i="10"/>
  <c r="K110" i="10"/>
  <c r="I812" i="10"/>
  <c r="K812" i="10"/>
  <c r="I318" i="10"/>
  <c r="K318" i="10"/>
  <c r="I336" i="10"/>
  <c r="K336" i="10"/>
  <c r="I878" i="10"/>
  <c r="K878" i="10"/>
  <c r="K259" i="10"/>
  <c r="I259" i="10"/>
  <c r="I157" i="10"/>
  <c r="K157" i="10"/>
  <c r="K519" i="10"/>
  <c r="I519" i="10"/>
  <c r="I471" i="10"/>
  <c r="K471" i="10"/>
  <c r="I220" i="10"/>
  <c r="K220" i="10"/>
  <c r="I74" i="10"/>
  <c r="K74" i="10"/>
  <c r="I486" i="10"/>
  <c r="K486" i="10"/>
  <c r="I438" i="10"/>
  <c r="K438" i="10"/>
  <c r="I653" i="10"/>
  <c r="K653" i="10"/>
  <c r="K116" i="10"/>
  <c r="I116" i="10"/>
  <c r="K503" i="10"/>
  <c r="I503" i="10"/>
  <c r="K223" i="10"/>
  <c r="I223" i="10"/>
  <c r="I906" i="10"/>
  <c r="K906" i="10"/>
  <c r="I379" i="10"/>
  <c r="K379" i="10"/>
  <c r="I922" i="10"/>
  <c r="K922" i="10"/>
  <c r="I334" i="10"/>
  <c r="K334" i="10"/>
  <c r="I709" i="10"/>
  <c r="K709" i="10"/>
  <c r="I346" i="10"/>
  <c r="K346" i="10"/>
  <c r="I493" i="10"/>
  <c r="K493" i="10"/>
  <c r="I281" i="10"/>
  <c r="K281" i="10"/>
  <c r="I233" i="10"/>
  <c r="K233" i="10"/>
  <c r="K244" i="10"/>
  <c r="I244" i="10"/>
  <c r="I104" i="10"/>
  <c r="K104" i="10"/>
  <c r="I954" i="10"/>
  <c r="K954" i="10"/>
  <c r="I368" i="10"/>
  <c r="K368" i="10"/>
  <c r="K117" i="10"/>
  <c r="I117" i="10"/>
  <c r="K278" i="10"/>
  <c r="I278" i="10"/>
  <c r="I728" i="10"/>
  <c r="K728" i="10"/>
  <c r="I353" i="10"/>
  <c r="K353" i="10"/>
  <c r="K693" i="10"/>
  <c r="I693" i="10"/>
  <c r="I970" i="10"/>
  <c r="K970" i="10"/>
  <c r="I385" i="10"/>
  <c r="K385" i="10"/>
  <c r="I553" i="10"/>
  <c r="K553" i="10"/>
  <c r="I62" i="10"/>
  <c r="K62" i="10"/>
  <c r="I806" i="10"/>
  <c r="K806" i="10"/>
  <c r="K130" i="10"/>
  <c r="I130" i="10"/>
  <c r="I465" i="10"/>
  <c r="K465" i="10"/>
  <c r="I557" i="10"/>
  <c r="K557" i="10"/>
  <c r="I350" i="10"/>
  <c r="K350" i="10"/>
  <c r="I302" i="10"/>
  <c r="K302" i="10"/>
  <c r="I790" i="10"/>
  <c r="K790" i="10"/>
  <c r="I317" i="10"/>
  <c r="K317" i="10"/>
  <c r="I94" i="10"/>
  <c r="K94" i="10"/>
  <c r="I44" i="10"/>
  <c r="K44" i="10"/>
  <c r="K149" i="10"/>
  <c r="I149" i="10"/>
  <c r="I77" i="10"/>
  <c r="K77" i="10"/>
  <c r="I314" i="10"/>
  <c r="K314" i="10"/>
  <c r="I386" i="10"/>
  <c r="K386" i="10"/>
  <c r="I378" i="10"/>
  <c r="K378" i="10"/>
  <c r="K207" i="10"/>
  <c r="I207" i="10"/>
  <c r="I810" i="10"/>
  <c r="K810" i="10"/>
  <c r="K214" i="10"/>
  <c r="I214" i="10"/>
  <c r="I287" i="10"/>
  <c r="K287" i="10"/>
  <c r="I125" i="10"/>
  <c r="K125" i="10"/>
  <c r="I381" i="10"/>
  <c r="K381" i="10"/>
  <c r="I285" i="10"/>
  <c r="K285" i="10"/>
  <c r="K176" i="10"/>
  <c r="I176" i="10"/>
  <c r="I747" i="10"/>
  <c r="K747" i="10"/>
  <c r="K181" i="10"/>
  <c r="I181" i="10"/>
  <c r="I673" i="10"/>
  <c r="K673" i="10"/>
  <c r="I12" i="10"/>
  <c r="K12" i="10"/>
  <c r="I769" i="10"/>
  <c r="K769" i="10"/>
  <c r="I430" i="10"/>
  <c r="I675" i="10"/>
  <c r="K675" i="10"/>
  <c r="I613" i="10"/>
  <c r="K613" i="10"/>
  <c r="K175" i="10"/>
  <c r="I175" i="10"/>
  <c r="I364" i="10"/>
  <c r="K364" i="10"/>
  <c r="I764" i="10"/>
  <c r="K764" i="10"/>
  <c r="I217" i="10"/>
  <c r="K217" i="10"/>
  <c r="I771" i="10"/>
  <c r="K771" i="10"/>
  <c r="K83" i="10"/>
  <c r="I83" i="10"/>
  <c r="I786" i="10"/>
  <c r="K786" i="10"/>
  <c r="I987" i="10"/>
  <c r="K987" i="10"/>
  <c r="I403" i="10"/>
  <c r="K403" i="10"/>
  <c r="K134" i="10"/>
  <c r="I134" i="10"/>
  <c r="I939" i="10"/>
  <c r="I893" i="10"/>
  <c r="I763" i="10"/>
  <c r="I28" i="10"/>
  <c r="K28" i="10"/>
  <c r="K612" i="10"/>
  <c r="I612" i="10"/>
  <c r="I190" i="10"/>
  <c r="I990" i="10"/>
  <c r="K990" i="10"/>
  <c r="I813" i="10"/>
  <c r="K564" i="10"/>
  <c r="I564" i="10"/>
  <c r="I256" i="10"/>
  <c r="K256" i="10"/>
  <c r="I413" i="10"/>
  <c r="K413" i="10"/>
  <c r="I196" i="10"/>
  <c r="K196" i="10"/>
  <c r="K421" i="10"/>
  <c r="I421" i="10"/>
  <c r="I859" i="10"/>
  <c r="K859" i="10"/>
  <c r="I224" i="10"/>
  <c r="K224" i="10"/>
  <c r="I347" i="10"/>
  <c r="K347" i="10"/>
  <c r="I200" i="10"/>
  <c r="K200" i="10"/>
  <c r="I592" i="10"/>
  <c r="K592" i="10"/>
  <c r="I90" i="10"/>
  <c r="K90" i="10"/>
  <c r="I187" i="10"/>
  <c r="K187" i="10"/>
  <c r="I410" i="10"/>
  <c r="K410" i="10"/>
  <c r="I212" i="10"/>
  <c r="K212" i="10"/>
  <c r="I186" i="10"/>
  <c r="K186" i="10"/>
  <c r="I605" i="10"/>
  <c r="K605" i="10"/>
  <c r="I880" i="10"/>
  <c r="K880" i="10"/>
  <c r="I431" i="10"/>
  <c r="K431" i="10"/>
  <c r="I170" i="10"/>
  <c r="K170" i="10"/>
  <c r="K143" i="10"/>
  <c r="I143" i="10"/>
  <c r="I554" i="10"/>
  <c r="K554" i="10"/>
  <c r="I506" i="10"/>
  <c r="K506" i="10"/>
  <c r="K823" i="10"/>
  <c r="I823" i="10"/>
  <c r="I25" i="10"/>
  <c r="K25" i="10"/>
  <c r="I843" i="10"/>
  <c r="K843" i="10"/>
  <c r="I344" i="10"/>
  <c r="K344" i="10"/>
  <c r="I289" i="10"/>
  <c r="K289" i="10"/>
  <c r="I536" i="10"/>
  <c r="K536" i="10"/>
  <c r="I43" i="10"/>
  <c r="K43" i="10"/>
  <c r="I824" i="10"/>
  <c r="K824" i="10"/>
  <c r="I29" i="10"/>
  <c r="K29" i="10"/>
  <c r="K195" i="10"/>
  <c r="I195" i="10"/>
  <c r="I335" i="10"/>
  <c r="K335" i="10"/>
  <c r="K211" i="10"/>
  <c r="I211" i="10"/>
  <c r="I620" i="10"/>
  <c r="K620" i="10"/>
  <c r="K64" i="10"/>
  <c r="I64" i="10"/>
  <c r="K933" i="10"/>
  <c r="I933" i="10"/>
  <c r="I573" i="10"/>
  <c r="K573" i="10"/>
  <c r="I367" i="10"/>
  <c r="K367" i="10"/>
  <c r="I319" i="10"/>
  <c r="K319" i="10"/>
  <c r="I118" i="10"/>
  <c r="I333" i="10"/>
  <c r="K333" i="10"/>
  <c r="K111" i="10"/>
  <c r="I111" i="10"/>
  <c r="K63" i="10"/>
  <c r="I63" i="10"/>
  <c r="I861" i="10"/>
  <c r="K861" i="10"/>
  <c r="I294" i="10"/>
  <c r="I567" i="10"/>
  <c r="K567" i="10"/>
  <c r="K246" i="10"/>
  <c r="I246" i="10"/>
  <c r="K487" i="10"/>
  <c r="I487" i="10"/>
  <c r="I236" i="10"/>
  <c r="K236" i="10"/>
  <c r="I914" i="10"/>
  <c r="K914" i="10"/>
  <c r="K21" i="10"/>
  <c r="I21" i="10"/>
  <c r="I296" i="10"/>
  <c r="K296" i="10"/>
  <c r="K565" i="10"/>
  <c r="I565" i="10"/>
  <c r="I292" i="10"/>
  <c r="K292" i="10"/>
  <c r="I219" i="10"/>
  <c r="K219" i="10"/>
  <c r="I827" i="10"/>
  <c r="K827" i="10"/>
  <c r="K484" i="10"/>
  <c r="I484" i="10"/>
  <c r="K55" i="10"/>
  <c r="I55" i="10"/>
  <c r="I141" i="10"/>
  <c r="K141" i="10"/>
  <c r="I468" i="10"/>
  <c r="K468" i="10"/>
  <c r="I454" i="10"/>
  <c r="K454" i="10"/>
  <c r="I254" i="10"/>
  <c r="K254" i="10"/>
  <c r="K52" i="10"/>
  <c r="I52" i="10"/>
  <c r="I434" i="10"/>
  <c r="K434" i="10"/>
  <c r="I88" i="10"/>
  <c r="K88" i="10"/>
  <c r="I748" i="10"/>
  <c r="K748" i="10"/>
  <c r="I789" i="10"/>
  <c r="K789" i="10"/>
  <c r="I634" i="10"/>
  <c r="K634" i="10"/>
  <c r="I24" i="10"/>
  <c r="K24" i="10"/>
  <c r="K99" i="10"/>
  <c r="I99" i="10"/>
  <c r="I520" i="10"/>
  <c r="K520" i="10"/>
  <c r="K437" i="10"/>
  <c r="I437" i="10"/>
  <c r="I651" i="10"/>
  <c r="K651" i="10"/>
  <c r="I451" i="10"/>
  <c r="K451" i="10"/>
  <c r="I473" i="10"/>
  <c r="I502" i="10"/>
  <c r="K502" i="10"/>
  <c r="I750" i="10"/>
  <c r="K750" i="10"/>
  <c r="I206" i="10"/>
  <c r="I795" i="10"/>
  <c r="I372" i="10"/>
  <c r="I969" i="10"/>
  <c r="I891" i="10"/>
  <c r="I917" i="10"/>
  <c r="I621" i="10"/>
  <c r="I441" i="10"/>
  <c r="K441" i="10"/>
  <c r="I897" i="10"/>
  <c r="K897" i="10"/>
  <c r="I257" i="10"/>
  <c r="K257" i="10"/>
  <c r="I809" i="10"/>
  <c r="K50" i="6"/>
  <c r="G51" i="6" s="1"/>
  <c r="H50" i="6"/>
  <c r="I24" i="6"/>
  <c r="K24" i="6" s="1"/>
  <c r="G25" i="6" s="1"/>
  <c r="H25" i="6" s="1"/>
  <c r="I9" i="5"/>
  <c r="K9" i="5" s="1"/>
  <c r="G10" i="5" s="1"/>
  <c r="H10" i="5" s="1"/>
  <c r="F27" i="1"/>
  <c r="N21" i="1"/>
  <c r="M22" i="1" s="1"/>
  <c r="M23" i="1" s="1"/>
  <c r="J16" i="1"/>
  <c r="J17" i="1"/>
  <c r="J18" i="1"/>
  <c r="J19" i="1"/>
  <c r="J15" i="1"/>
  <c r="I16" i="1"/>
  <c r="I17" i="1"/>
  <c r="I18" i="1"/>
  <c r="I19" i="1"/>
  <c r="I15" i="1"/>
  <c r="E15" i="1"/>
  <c r="J8" i="1"/>
  <c r="J12" i="1"/>
  <c r="J10" i="1"/>
  <c r="J9" i="1"/>
  <c r="J11" i="1"/>
  <c r="D12" i="1"/>
  <c r="J3" i="1"/>
  <c r="J4" i="1"/>
  <c r="J5" i="1"/>
  <c r="J6" i="1"/>
  <c r="J2" i="1"/>
  <c r="D6" i="1"/>
  <c r="F3" i="1"/>
  <c r="A2" i="1"/>
  <c r="H28" i="1"/>
  <c r="K51" i="6" l="1"/>
  <c r="G52" i="6" s="1"/>
  <c r="H51" i="6"/>
  <c r="I25" i="6"/>
  <c r="K25" i="6" s="1"/>
  <c r="G26" i="6" s="1"/>
  <c r="H26" i="6" s="1"/>
  <c r="I10" i="5"/>
  <c r="K10" i="5" s="1"/>
  <c r="G11" i="5" s="1"/>
  <c r="H11" i="5" s="1"/>
  <c r="K52" i="6" l="1"/>
  <c r="G53" i="6" s="1"/>
  <c r="H52" i="6"/>
  <c r="I26" i="6"/>
  <c r="K26" i="6" s="1"/>
  <c r="G27" i="6" s="1"/>
  <c r="H27" i="6" s="1"/>
  <c r="I11" i="5"/>
  <c r="K11" i="5" s="1"/>
  <c r="G12" i="5" s="1"/>
  <c r="H12" i="5" s="1"/>
  <c r="K53" i="6" l="1"/>
  <c r="G54" i="6" s="1"/>
  <c r="H53" i="6"/>
  <c r="I27" i="6"/>
  <c r="K27" i="6" s="1"/>
  <c r="G28" i="6" s="1"/>
  <c r="H28" i="6" s="1"/>
  <c r="I12" i="5"/>
  <c r="K12" i="5" s="1"/>
  <c r="G13" i="5" s="1"/>
  <c r="H13" i="5" s="1"/>
  <c r="K54" i="6" l="1"/>
  <c r="G55" i="6" s="1"/>
  <c r="H54" i="6"/>
  <c r="I28" i="6"/>
  <c r="K28" i="6" s="1"/>
  <c r="G29" i="6" s="1"/>
  <c r="H29" i="6" s="1"/>
  <c r="I13" i="5"/>
  <c r="K13" i="5" s="1"/>
  <c r="G14" i="5" s="1"/>
  <c r="H14" i="5" s="1"/>
  <c r="K55" i="6" l="1"/>
  <c r="G56" i="6" s="1"/>
  <c r="H55" i="6"/>
  <c r="I29" i="6"/>
  <c r="K29" i="6" s="1"/>
  <c r="G30" i="6" s="1"/>
  <c r="H30" i="6" s="1"/>
  <c r="I14" i="5"/>
  <c r="K14" i="5" s="1"/>
  <c r="G15" i="5" s="1"/>
  <c r="H15" i="5" s="1"/>
  <c r="K56" i="6" l="1"/>
  <c r="H56" i="6"/>
  <c r="I30" i="6"/>
  <c r="K30" i="6" s="1"/>
  <c r="I15" i="5"/>
  <c r="K15" i="5" s="1"/>
  <c r="J40" i="6"/>
  <c r="J41" i="6"/>
  <c r="J39" i="6"/>
  <c r="J38" i="6"/>
  <c r="J37" i="6"/>
  <c r="H37" i="6" s="1"/>
  <c r="D36" i="6" l="1"/>
  <c r="G37" i="6" s="1"/>
  <c r="K37" i="6" s="1"/>
  <c r="G38" i="6" s="1"/>
  <c r="H38" i="6" l="1"/>
  <c r="K38" i="6"/>
  <c r="G39" i="6" s="1"/>
  <c r="K39" i="6" s="1"/>
  <c r="G40" i="6" s="1"/>
  <c r="K40" i="6" l="1"/>
  <c r="G41" i="6" s="1"/>
  <c r="I41" i="6" l="1"/>
  <c r="K41" i="6" s="1"/>
</calcChain>
</file>

<file path=xl/sharedStrings.xml><?xml version="1.0" encoding="utf-8"?>
<sst xmlns="http://schemas.openxmlformats.org/spreadsheetml/2006/main" count="1049" uniqueCount="120">
  <si>
    <t>Zadanko 1</t>
  </si>
  <si>
    <t>po 216 dniach</t>
  </si>
  <si>
    <t xml:space="preserve">kapital poczatkowy </t>
  </si>
  <si>
    <t>t</t>
  </si>
  <si>
    <t>oprocentowanie</t>
  </si>
  <si>
    <t>nal.ods.wykup</t>
  </si>
  <si>
    <t>accrintm</t>
  </si>
  <si>
    <t>po 5 latach</t>
  </si>
  <si>
    <t>Zadanko 2</t>
  </si>
  <si>
    <t>kapital pocz</t>
  </si>
  <si>
    <t>kapital konc</t>
  </si>
  <si>
    <t>kapitalizacja</t>
  </si>
  <si>
    <t>prosta</t>
  </si>
  <si>
    <t>stopa.proc</t>
  </si>
  <si>
    <t>intrate</t>
  </si>
  <si>
    <t>rent.dysk</t>
  </si>
  <si>
    <t>yielddisc</t>
  </si>
  <si>
    <t>obliczanie dni</t>
  </si>
  <si>
    <t>kod</t>
  </si>
  <si>
    <t>sposób</t>
  </si>
  <si>
    <t>0 lub brak</t>
  </si>
  <si>
    <t>amerykańska(mies. 30 dni, rok 360)</t>
  </si>
  <si>
    <t>mies. ma rzeczywista liczbe dni, rok tez</t>
  </si>
  <si>
    <t>miesiąc ma rzecz. liczbę dni, rok ma 360</t>
  </si>
  <si>
    <t>miesiąc ma rzecz. liczbę dni, rok ma 365</t>
  </si>
  <si>
    <t>europejska(miesiąc 30 dni, rok 360)</t>
  </si>
  <si>
    <t>Zadanko 3</t>
  </si>
  <si>
    <t>kap pocz</t>
  </si>
  <si>
    <t>r</t>
  </si>
  <si>
    <t>kapitalizacja roczna</t>
  </si>
  <si>
    <t>odsetki</t>
  </si>
  <si>
    <t>Function lokata(x As Double, r As Double, n As Integer)</t>
  </si>
  <si>
    <t>Lab1</t>
  </si>
  <si>
    <t>Lab2</t>
  </si>
  <si>
    <t>+++</t>
  </si>
  <si>
    <t>Present value</t>
  </si>
  <si>
    <t>r-stopa</t>
  </si>
  <si>
    <t>n-liczba okr</t>
  </si>
  <si>
    <t>R-rata</t>
  </si>
  <si>
    <t>wp- opcjonalny - dodatkowy przeplyw w chwili n</t>
  </si>
  <si>
    <t>PV(r,n,R,Wp,typ)</t>
  </si>
  <si>
    <t>typ-kiedy płatność jest należna 0 lub 1</t>
  </si>
  <si>
    <t>wyjdzie ujemna, minusik przed PV lub przed ratą</t>
  </si>
  <si>
    <t>n</t>
  </si>
  <si>
    <t>obecna wartosc</t>
  </si>
  <si>
    <t>Zadanko 4</t>
  </si>
  <si>
    <t>Zadanko 5</t>
  </si>
  <si>
    <t>++</t>
  </si>
  <si>
    <t>Zadanko 6</t>
  </si>
  <si>
    <t>inny sposób</t>
  </si>
  <si>
    <t>Teraz miesięczne wpłaty</t>
  </si>
  <si>
    <t xml:space="preserve"> WAŻNE!!!!! EIFNdnlvwnkknvvnwvklEOFNEOFBNCOBO</t>
  </si>
  <si>
    <t>Oblicz wartość stałej raty kredytu na kwotę 600000 zł zaciągniętego na 30 lat przy załozeniu, że rata płacona jest na koniec każdego roku, oprocentowanego stopą r = 9%</t>
  </si>
  <si>
    <t>miesięczna rata</t>
  </si>
  <si>
    <t>K</t>
  </si>
  <si>
    <t>r_nom</t>
  </si>
  <si>
    <t>częstość</t>
  </si>
  <si>
    <t>RATA</t>
  </si>
  <si>
    <t>Okres</t>
  </si>
  <si>
    <t>Saldo początkowe</t>
  </si>
  <si>
    <t>Część odsetkowa raty</t>
  </si>
  <si>
    <t>część kapitałowa raty</t>
  </si>
  <si>
    <t>rata</t>
  </si>
  <si>
    <t>Saldo końcowe</t>
  </si>
  <si>
    <t>Schemat amortyzacji kredytu</t>
  </si>
  <si>
    <t>Wypełnij schemat amortyzacji kredytu spłacanego stałą ratą i oprocentowanego stałą stopą.</t>
  </si>
  <si>
    <t xml:space="preserve">K </t>
  </si>
  <si>
    <t>R</t>
  </si>
  <si>
    <t>część odsetkowa raty</t>
  </si>
  <si>
    <t>Wypełnij schemat amortyzacji kredytu. W każdym okresie odsetkowym spłacane są tylko odsetki od zadłużenia. Kapitał spłacany jest w ostatniej racie.</t>
  </si>
  <si>
    <t>Wypełnij schemat amortyzacji kredytu spłacanego równą ratą kapitałową (części kapitałowe raty stanową ciąg stały</t>
  </si>
  <si>
    <t>koszt kredytu</t>
  </si>
  <si>
    <t>koszt przy metodzie stałej raty</t>
  </si>
  <si>
    <t>rata przy metodzie stałej raty</t>
  </si>
  <si>
    <t>Kredyt wysokości K spłacany jest stałą ratą R_1 (R_i=R dla i=1,…,n).
Oprocentowanie kredytu wynosi r_1. Po zapłaceniu i-tej raty bank zmienił warunki oprocentowania, zmieniając stopę referencyjną na r_2.
a) Wyznacz wysokość nowej raty R_2
b) Wyznacz koszt kredytu
c) Wyznacz zmianę kosztu kredytu wynikającą ze zmiany oprocentowania</t>
  </si>
  <si>
    <t>r_1</t>
  </si>
  <si>
    <t>r_2</t>
  </si>
  <si>
    <t>i</t>
  </si>
  <si>
    <t xml:space="preserve">R_1 </t>
  </si>
  <si>
    <t>R_2</t>
  </si>
  <si>
    <t>koszt</t>
  </si>
  <si>
    <t>\</t>
  </si>
  <si>
    <t>Lab3</t>
  </si>
  <si>
    <t>++++</t>
  </si>
  <si>
    <t>Dany jest kredyt K w wysokości 600000 oproc. Stopa r</t>
  </si>
  <si>
    <t>spłacany jest równymi ratami na koniec kolejnych miesiecy przez 30 najbliższych lat</t>
  </si>
  <si>
    <t>narysuj wykres f kosztu kredytu w zal od wielkosci stopy proc</t>
  </si>
  <si>
    <t>suma spłaconych rat rata stala</t>
  </si>
  <si>
    <t>koszt dla raty stalej</t>
  </si>
  <si>
    <t>koszt dla raty malejacej</t>
  </si>
  <si>
    <t>zaoszczędzone pieniążki</t>
  </si>
  <si>
    <t>suma splaconych rat rata stała</t>
  </si>
  <si>
    <t>Lab4</t>
  </si>
  <si>
    <t>wartosc nominalna</t>
  </si>
  <si>
    <t>długość (lata)</t>
  </si>
  <si>
    <t>oprocentowanie obligacji(kupon)</t>
  </si>
  <si>
    <t>częstość w roku</t>
  </si>
  <si>
    <t>rentowność</t>
  </si>
  <si>
    <t>Podaj cenę obligacji, płacącej kupony wg stopy kuponowej 4%, wart nom 100, o terminie zapadalnosci T = 3,zakładając rentowność 5% I częstość 1</t>
  </si>
  <si>
    <t>kupony co kwartał, st kupon 6%, T=2,rent 3%</t>
  </si>
  <si>
    <t>Bank wyemitował boligacje o wart nom 100 I okr życia 2 lata</t>
  </si>
  <si>
    <t>I cenie 88,5 opr obli wynosi 10% w skali roku</t>
  </si>
  <si>
    <t>płatności dokonywane są co pół roku</t>
  </si>
  <si>
    <t>ile wynosi rentowność tej obligacji</t>
  </si>
  <si>
    <t>półroczna</t>
  </si>
  <si>
    <t>IRR</t>
  </si>
  <si>
    <t>Lab5</t>
  </si>
  <si>
    <t>CRR(n, r, S, a, b, K, PutCall As String)</t>
  </si>
  <si>
    <t>S</t>
  </si>
  <si>
    <t>a</t>
  </si>
  <si>
    <t>b</t>
  </si>
  <si>
    <t>c</t>
  </si>
  <si>
    <t>PutCall</t>
  </si>
  <si>
    <t>parytet kupno - sprzedaż</t>
  </si>
  <si>
    <t>p</t>
  </si>
  <si>
    <t>euramer</t>
  </si>
  <si>
    <t>e</t>
  </si>
  <si>
    <t>Wykres ceny opcji w zaleznosci od n 1,2,… 100 dla eur amer kupna sprzedaży</t>
  </si>
  <si>
    <t>Euramer</t>
  </si>
  <si>
    <t>Putcall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</si>
</sst>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164" formatCode="_-* #,##0.00\ [$zł-415]_-;\-* #,##0.00\ [$zł-415]_-;_-* &quot;-&quot;??\ [$zł-415]_-;_-@_-"/>
    <numFmt numFmtId="165" formatCode="0.0%"/>
    <numFmt numFmtId="166" formatCode="0.000%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000000"/>
      <name val="Calibri"/>
      <family val="2"/>
      <charset val="238"/>
      <scheme val="minor"/>
    </font>
    <font>
      <sz val="11"/>
      <color rgb="FF44444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7CE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" fillId="2" borderId="0" applyNumberFormat="0" applyBorder="0" applyAlignment="0" applyProtection="0"/>
  </cellStyleXfs>
  <cellXfs count="28">
    <xf numFmtId="0" fontId="0" fillId="0" borderId="0" xfId="0"/>
    <xf numFmtId="9" fontId="0" fillId="0" borderId="0" xfId="0" applyNumberFormat="1"/>
    <xf numFmtId="164" fontId="0" fillId="0" borderId="0" xfId="0" applyNumberFormat="1"/>
    <xf numFmtId="165" fontId="0" fillId="0" borderId="0" xfId="1" applyNumberFormat="1" applyFont="1"/>
    <xf numFmtId="14" fontId="0" fillId="0" borderId="0" xfId="0" applyNumberFormat="1"/>
    <xf numFmtId="1" fontId="0" fillId="0" borderId="0" xfId="0" applyNumberFormat="1"/>
    <xf numFmtId="0" fontId="2" fillId="0" borderId="0" xfId="0" applyFont="1"/>
    <xf numFmtId="0" fontId="0" fillId="0" borderId="0" xfId="0" quotePrefix="1"/>
    <xf numFmtId="164" fontId="0" fillId="0" borderId="0" xfId="1" applyNumberFormat="1" applyFont="1"/>
    <xf numFmtId="164" fontId="0" fillId="0" borderId="0" xfId="2" applyNumberFormat="1" applyFont="1"/>
    <xf numFmtId="0" fontId="0" fillId="0" borderId="0" xfId="0" applyAlignment="1">
      <alignment wrapText="1"/>
    </xf>
    <xf numFmtId="0" fontId="3" fillId="2" borderId="0" xfId="3" applyAlignment="1">
      <alignment horizontal="center" wrapText="1"/>
    </xf>
    <xf numFmtId="166" fontId="0" fillId="0" borderId="0" xfId="1" applyNumberFormat="1" applyFont="1"/>
    <xf numFmtId="9" fontId="0" fillId="0" borderId="0" xfId="1" applyFont="1"/>
    <xf numFmtId="10" fontId="0" fillId="0" borderId="0" xfId="1" applyNumberFormat="1" applyFont="1"/>
    <xf numFmtId="0" fontId="4" fillId="0" borderId="0" xfId="0" applyFont="1" applyAlignment="1">
      <alignment wrapText="1"/>
    </xf>
    <xf numFmtId="166" fontId="0" fillId="0" borderId="0" xfId="0" applyNumberFormat="1"/>
    <xf numFmtId="0" fontId="4" fillId="0" borderId="0" xfId="0" applyFont="1"/>
    <xf numFmtId="0" fontId="4" fillId="0" borderId="0" xfId="0" applyFont="1" applyAlignment="1"/>
    <xf numFmtId="164" fontId="4" fillId="0" borderId="0" xfId="0" applyNumberFormat="1" applyFont="1" applyAlignment="1"/>
    <xf numFmtId="164" fontId="4" fillId="0" borderId="0" xfId="0" applyNumberFormat="1" applyFont="1"/>
    <xf numFmtId="164" fontId="4" fillId="0" borderId="0" xfId="2" applyNumberFormat="1" applyFont="1" applyAlignment="1"/>
    <xf numFmtId="164" fontId="4" fillId="0" borderId="0" xfId="2" applyNumberFormat="1" applyFont="1"/>
    <xf numFmtId="0" fontId="5" fillId="0" borderId="0" xfId="0" applyFont="1"/>
    <xf numFmtId="9" fontId="4" fillId="0" borderId="0" xfId="0" applyNumberFormat="1" applyFont="1"/>
    <xf numFmtId="0" fontId="5" fillId="0" borderId="0" xfId="0" applyFont="1" applyAlignment="1">
      <alignment wrapText="1"/>
    </xf>
    <xf numFmtId="164" fontId="0" fillId="0" borderId="0" xfId="0" applyNumberFormat="1" applyAlignment="1">
      <alignment wrapText="1"/>
    </xf>
    <xf numFmtId="0" fontId="3" fillId="2" borderId="0" xfId="3" applyAlignment="1">
      <alignment horizontal="center" wrapText="1"/>
    </xf>
  </cellXfs>
  <cellStyles count="4">
    <cellStyle name="Normalny" xfId="0" builtinId="0"/>
    <cellStyle name="Procentowy" xfId="1" builtinId="5"/>
    <cellStyle name="Walutowy" xfId="2" builtinId="4"/>
    <cellStyle name="Zły" xfId="3" builtinId="2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'Lab2'!$G$38:$G$1038</c:f>
              <c:numCache>
                <c:formatCode>General</c:formatCode>
                <c:ptCount val="1001"/>
                <c:pt idx="2">
                  <c:v>0</c:v>
                </c:pt>
                <c:pt idx="3">
                  <c:v>1E-3</c:v>
                </c:pt>
                <c:pt idx="4">
                  <c:v>2E-3</c:v>
                </c:pt>
                <c:pt idx="5">
                  <c:v>3.0000000000000001E-3</c:v>
                </c:pt>
                <c:pt idx="6">
                  <c:v>4.0000000000000001E-3</c:v>
                </c:pt>
                <c:pt idx="7">
                  <c:v>5.0000000000000001E-3</c:v>
                </c:pt>
                <c:pt idx="8">
                  <c:v>6.0000000000000001E-3</c:v>
                </c:pt>
                <c:pt idx="9">
                  <c:v>7.0000000000000001E-3</c:v>
                </c:pt>
                <c:pt idx="10">
                  <c:v>8.0000000000000002E-3</c:v>
                </c:pt>
                <c:pt idx="11">
                  <c:v>8.9999999999999993E-3</c:v>
                </c:pt>
                <c:pt idx="12">
                  <c:v>0.01</c:v>
                </c:pt>
                <c:pt idx="13">
                  <c:v>1.0999999999999999E-2</c:v>
                </c:pt>
                <c:pt idx="14">
                  <c:v>1.2E-2</c:v>
                </c:pt>
                <c:pt idx="15">
                  <c:v>1.2999999999999999E-2</c:v>
                </c:pt>
                <c:pt idx="16">
                  <c:v>1.4E-2</c:v>
                </c:pt>
                <c:pt idx="17">
                  <c:v>1.4999999999999999E-2</c:v>
                </c:pt>
                <c:pt idx="18">
                  <c:v>1.6E-2</c:v>
                </c:pt>
                <c:pt idx="19">
                  <c:v>1.7000000000000001E-2</c:v>
                </c:pt>
                <c:pt idx="20">
                  <c:v>1.7999999999999999E-2</c:v>
                </c:pt>
                <c:pt idx="21">
                  <c:v>1.9E-2</c:v>
                </c:pt>
                <c:pt idx="22">
                  <c:v>0.02</c:v>
                </c:pt>
                <c:pt idx="23">
                  <c:v>2.1000000000000001E-2</c:v>
                </c:pt>
                <c:pt idx="24">
                  <c:v>2.1999999999999999E-2</c:v>
                </c:pt>
                <c:pt idx="25">
                  <c:v>2.3E-2</c:v>
                </c:pt>
                <c:pt idx="26">
                  <c:v>2.4E-2</c:v>
                </c:pt>
                <c:pt idx="27">
                  <c:v>2.5000000000000001E-2</c:v>
                </c:pt>
                <c:pt idx="28">
                  <c:v>2.5999999999999999E-2</c:v>
                </c:pt>
                <c:pt idx="29">
                  <c:v>2.7E-2</c:v>
                </c:pt>
                <c:pt idx="30">
                  <c:v>2.8000000000000001E-2</c:v>
                </c:pt>
                <c:pt idx="31">
                  <c:v>2.9000000000000001E-2</c:v>
                </c:pt>
                <c:pt idx="32">
                  <c:v>0.03</c:v>
                </c:pt>
                <c:pt idx="33">
                  <c:v>3.1E-2</c:v>
                </c:pt>
                <c:pt idx="34">
                  <c:v>3.2000000000000001E-2</c:v>
                </c:pt>
                <c:pt idx="35">
                  <c:v>3.3000000000000002E-2</c:v>
                </c:pt>
                <c:pt idx="36">
                  <c:v>3.4000000000000002E-2</c:v>
                </c:pt>
                <c:pt idx="37">
                  <c:v>3.5000000000000003E-2</c:v>
                </c:pt>
                <c:pt idx="38">
                  <c:v>3.5999999999999997E-2</c:v>
                </c:pt>
                <c:pt idx="39">
                  <c:v>3.6999999999999998E-2</c:v>
                </c:pt>
                <c:pt idx="40">
                  <c:v>3.7999999999999999E-2</c:v>
                </c:pt>
                <c:pt idx="41">
                  <c:v>3.9E-2</c:v>
                </c:pt>
                <c:pt idx="42">
                  <c:v>0.04</c:v>
                </c:pt>
                <c:pt idx="43">
                  <c:v>4.1000000000000002E-2</c:v>
                </c:pt>
                <c:pt idx="44">
                  <c:v>4.2000000000000003E-2</c:v>
                </c:pt>
                <c:pt idx="45">
                  <c:v>4.2999999999999997E-2</c:v>
                </c:pt>
                <c:pt idx="46">
                  <c:v>4.3999999999999997E-2</c:v>
                </c:pt>
                <c:pt idx="47">
                  <c:v>4.4999999999999998E-2</c:v>
                </c:pt>
                <c:pt idx="48">
                  <c:v>4.5999999999999999E-2</c:v>
                </c:pt>
                <c:pt idx="49">
                  <c:v>4.7E-2</c:v>
                </c:pt>
                <c:pt idx="50">
                  <c:v>4.8000000000000001E-2</c:v>
                </c:pt>
                <c:pt idx="51">
                  <c:v>4.9000000000000002E-2</c:v>
                </c:pt>
                <c:pt idx="52">
                  <c:v>0.05</c:v>
                </c:pt>
                <c:pt idx="53">
                  <c:v>5.0999999999999997E-2</c:v>
                </c:pt>
                <c:pt idx="54">
                  <c:v>5.1999999999999998E-2</c:v>
                </c:pt>
                <c:pt idx="55">
                  <c:v>5.2999999999999999E-2</c:v>
                </c:pt>
                <c:pt idx="56">
                  <c:v>5.3999999999999999E-2</c:v>
                </c:pt>
                <c:pt idx="57">
                  <c:v>5.5E-2</c:v>
                </c:pt>
                <c:pt idx="58">
                  <c:v>5.6000000000000001E-2</c:v>
                </c:pt>
                <c:pt idx="59">
                  <c:v>5.7000000000000002E-2</c:v>
                </c:pt>
                <c:pt idx="60">
                  <c:v>5.8000000000000003E-2</c:v>
                </c:pt>
                <c:pt idx="61">
                  <c:v>5.8999999999999997E-2</c:v>
                </c:pt>
                <c:pt idx="62">
                  <c:v>0.06</c:v>
                </c:pt>
                <c:pt idx="63">
                  <c:v>6.0999999999999999E-2</c:v>
                </c:pt>
                <c:pt idx="64">
                  <c:v>6.2E-2</c:v>
                </c:pt>
                <c:pt idx="65">
                  <c:v>6.3E-2</c:v>
                </c:pt>
                <c:pt idx="66">
                  <c:v>6.4000000000000001E-2</c:v>
                </c:pt>
                <c:pt idx="67">
                  <c:v>6.5000000000000002E-2</c:v>
                </c:pt>
                <c:pt idx="68">
                  <c:v>6.6000000000000003E-2</c:v>
                </c:pt>
                <c:pt idx="69">
                  <c:v>6.7000000000000004E-2</c:v>
                </c:pt>
                <c:pt idx="70">
                  <c:v>6.8000000000000005E-2</c:v>
                </c:pt>
                <c:pt idx="71">
                  <c:v>6.9000000000000006E-2</c:v>
                </c:pt>
                <c:pt idx="72">
                  <c:v>7.0000000000000007E-2</c:v>
                </c:pt>
                <c:pt idx="73">
                  <c:v>7.0999999999999994E-2</c:v>
                </c:pt>
                <c:pt idx="74">
                  <c:v>7.1999999999999995E-2</c:v>
                </c:pt>
                <c:pt idx="75">
                  <c:v>7.2999999999999995E-2</c:v>
                </c:pt>
                <c:pt idx="76">
                  <c:v>7.3999999999999996E-2</c:v>
                </c:pt>
                <c:pt idx="77">
                  <c:v>7.4999999999999997E-2</c:v>
                </c:pt>
                <c:pt idx="78">
                  <c:v>7.5999999999999998E-2</c:v>
                </c:pt>
                <c:pt idx="79">
                  <c:v>7.6999999999999999E-2</c:v>
                </c:pt>
                <c:pt idx="80">
                  <c:v>7.8E-2</c:v>
                </c:pt>
                <c:pt idx="81">
                  <c:v>7.9000000000000001E-2</c:v>
                </c:pt>
                <c:pt idx="82">
                  <c:v>0.08</c:v>
                </c:pt>
                <c:pt idx="83">
                  <c:v>8.1000000000000003E-2</c:v>
                </c:pt>
                <c:pt idx="84">
                  <c:v>8.2000000000000003E-2</c:v>
                </c:pt>
                <c:pt idx="85">
                  <c:v>8.3000000000000004E-2</c:v>
                </c:pt>
                <c:pt idx="86">
                  <c:v>8.4000000000000005E-2</c:v>
                </c:pt>
                <c:pt idx="87">
                  <c:v>8.5000000000000006E-2</c:v>
                </c:pt>
                <c:pt idx="88">
                  <c:v>8.5999999999999993E-2</c:v>
                </c:pt>
                <c:pt idx="89">
                  <c:v>8.6999999999999994E-2</c:v>
                </c:pt>
                <c:pt idx="90">
                  <c:v>8.7999999999999995E-2</c:v>
                </c:pt>
                <c:pt idx="91">
                  <c:v>8.8999999999999996E-2</c:v>
                </c:pt>
                <c:pt idx="92">
                  <c:v>0.09</c:v>
                </c:pt>
                <c:pt idx="93">
                  <c:v>9.0999999999999998E-2</c:v>
                </c:pt>
                <c:pt idx="94">
                  <c:v>9.1999999999999998E-2</c:v>
                </c:pt>
                <c:pt idx="95">
                  <c:v>9.2999999999999999E-2</c:v>
                </c:pt>
                <c:pt idx="96">
                  <c:v>9.4E-2</c:v>
                </c:pt>
                <c:pt idx="97">
                  <c:v>9.5000000000000001E-2</c:v>
                </c:pt>
                <c:pt idx="98">
                  <c:v>9.6000000000000002E-2</c:v>
                </c:pt>
                <c:pt idx="99">
                  <c:v>9.7000000000000003E-2</c:v>
                </c:pt>
                <c:pt idx="100">
                  <c:v>9.8000000000000004E-2</c:v>
                </c:pt>
                <c:pt idx="101">
                  <c:v>9.9000000000000005E-2</c:v>
                </c:pt>
                <c:pt idx="102">
                  <c:v>0.1</c:v>
                </c:pt>
                <c:pt idx="103">
                  <c:v>0.10100000000000001</c:v>
                </c:pt>
                <c:pt idx="104">
                  <c:v>0.10199999999999999</c:v>
                </c:pt>
                <c:pt idx="105">
                  <c:v>0.10299999999999999</c:v>
                </c:pt>
                <c:pt idx="106">
                  <c:v>0.104</c:v>
                </c:pt>
                <c:pt idx="107">
                  <c:v>0.105</c:v>
                </c:pt>
                <c:pt idx="108">
                  <c:v>0.106</c:v>
                </c:pt>
                <c:pt idx="109">
                  <c:v>0.107</c:v>
                </c:pt>
                <c:pt idx="110">
                  <c:v>0.108</c:v>
                </c:pt>
                <c:pt idx="111">
                  <c:v>0.109</c:v>
                </c:pt>
                <c:pt idx="112">
                  <c:v>0.11</c:v>
                </c:pt>
                <c:pt idx="113">
                  <c:v>0.111</c:v>
                </c:pt>
                <c:pt idx="114">
                  <c:v>0.112</c:v>
                </c:pt>
                <c:pt idx="115">
                  <c:v>0.113</c:v>
                </c:pt>
                <c:pt idx="116">
                  <c:v>0.114</c:v>
                </c:pt>
                <c:pt idx="117">
                  <c:v>0.115</c:v>
                </c:pt>
                <c:pt idx="118">
                  <c:v>0.11600000000000001</c:v>
                </c:pt>
                <c:pt idx="119">
                  <c:v>0.11700000000000001</c:v>
                </c:pt>
                <c:pt idx="120">
                  <c:v>0.11799999999999999</c:v>
                </c:pt>
                <c:pt idx="121">
                  <c:v>0.11899999999999999</c:v>
                </c:pt>
                <c:pt idx="122">
                  <c:v>0.12</c:v>
                </c:pt>
                <c:pt idx="123">
                  <c:v>0.121</c:v>
                </c:pt>
                <c:pt idx="124">
                  <c:v>0.122</c:v>
                </c:pt>
                <c:pt idx="125">
                  <c:v>0.123</c:v>
                </c:pt>
                <c:pt idx="126">
                  <c:v>0.124</c:v>
                </c:pt>
                <c:pt idx="127">
                  <c:v>0.125</c:v>
                </c:pt>
                <c:pt idx="128">
                  <c:v>0.126</c:v>
                </c:pt>
                <c:pt idx="129">
                  <c:v>0.127</c:v>
                </c:pt>
                <c:pt idx="130">
                  <c:v>0.128</c:v>
                </c:pt>
                <c:pt idx="131">
                  <c:v>0.129</c:v>
                </c:pt>
                <c:pt idx="132">
                  <c:v>0.13</c:v>
                </c:pt>
                <c:pt idx="133">
                  <c:v>0.13100000000000001</c:v>
                </c:pt>
                <c:pt idx="134">
                  <c:v>0.13200000000000001</c:v>
                </c:pt>
                <c:pt idx="135">
                  <c:v>0.13300000000000001</c:v>
                </c:pt>
                <c:pt idx="136">
                  <c:v>0.13400000000000001</c:v>
                </c:pt>
                <c:pt idx="137">
                  <c:v>0.13500000000000001</c:v>
                </c:pt>
                <c:pt idx="138">
                  <c:v>0.13600000000000001</c:v>
                </c:pt>
                <c:pt idx="139">
                  <c:v>0.13700000000000001</c:v>
                </c:pt>
                <c:pt idx="140">
                  <c:v>0.13800000000000001</c:v>
                </c:pt>
                <c:pt idx="141">
                  <c:v>0.13900000000000001</c:v>
                </c:pt>
                <c:pt idx="142">
                  <c:v>0.14000000000000001</c:v>
                </c:pt>
                <c:pt idx="143">
                  <c:v>0.14099999999999999</c:v>
                </c:pt>
                <c:pt idx="144">
                  <c:v>0.14199999999999999</c:v>
                </c:pt>
                <c:pt idx="145">
                  <c:v>0.14299999999999999</c:v>
                </c:pt>
                <c:pt idx="146">
                  <c:v>0.14399999999999999</c:v>
                </c:pt>
                <c:pt idx="147">
                  <c:v>0.14499999999999999</c:v>
                </c:pt>
                <c:pt idx="148">
                  <c:v>0.14599999999999999</c:v>
                </c:pt>
                <c:pt idx="149">
                  <c:v>0.14699999999999999</c:v>
                </c:pt>
                <c:pt idx="150">
                  <c:v>0.14799999999999999</c:v>
                </c:pt>
                <c:pt idx="151">
                  <c:v>0.14899999999999999</c:v>
                </c:pt>
                <c:pt idx="152">
                  <c:v>0.15</c:v>
                </c:pt>
                <c:pt idx="153">
                  <c:v>0.151</c:v>
                </c:pt>
                <c:pt idx="154">
                  <c:v>0.152</c:v>
                </c:pt>
                <c:pt idx="155">
                  <c:v>0.153</c:v>
                </c:pt>
                <c:pt idx="156">
                  <c:v>0.154</c:v>
                </c:pt>
                <c:pt idx="157">
                  <c:v>0.155</c:v>
                </c:pt>
                <c:pt idx="158">
                  <c:v>0.156</c:v>
                </c:pt>
                <c:pt idx="159">
                  <c:v>0.157</c:v>
                </c:pt>
                <c:pt idx="160">
                  <c:v>0.158</c:v>
                </c:pt>
                <c:pt idx="161">
                  <c:v>0.159</c:v>
                </c:pt>
                <c:pt idx="162">
                  <c:v>0.16</c:v>
                </c:pt>
                <c:pt idx="163">
                  <c:v>0.161</c:v>
                </c:pt>
                <c:pt idx="164">
                  <c:v>0.16200000000000001</c:v>
                </c:pt>
                <c:pt idx="165">
                  <c:v>0.16300000000000001</c:v>
                </c:pt>
                <c:pt idx="166">
                  <c:v>0.16400000000000001</c:v>
                </c:pt>
                <c:pt idx="167">
                  <c:v>0.16500000000000001</c:v>
                </c:pt>
                <c:pt idx="168">
                  <c:v>0.16600000000000001</c:v>
                </c:pt>
                <c:pt idx="169">
                  <c:v>0.16700000000000001</c:v>
                </c:pt>
                <c:pt idx="170">
                  <c:v>0.16800000000000001</c:v>
                </c:pt>
                <c:pt idx="171">
                  <c:v>0.16900000000000001</c:v>
                </c:pt>
                <c:pt idx="172">
                  <c:v>0.17</c:v>
                </c:pt>
                <c:pt idx="173">
                  <c:v>0.17100000000000001</c:v>
                </c:pt>
                <c:pt idx="174">
                  <c:v>0.17199999999999999</c:v>
                </c:pt>
                <c:pt idx="175">
                  <c:v>0.17299999999999999</c:v>
                </c:pt>
                <c:pt idx="176">
                  <c:v>0.17399999999999999</c:v>
                </c:pt>
                <c:pt idx="177">
                  <c:v>0.17499999999999999</c:v>
                </c:pt>
                <c:pt idx="178">
                  <c:v>0.17599999999999999</c:v>
                </c:pt>
                <c:pt idx="179">
                  <c:v>0.17699999999999999</c:v>
                </c:pt>
                <c:pt idx="180">
                  <c:v>0.17799999999999999</c:v>
                </c:pt>
                <c:pt idx="181">
                  <c:v>0.17899999999999999</c:v>
                </c:pt>
                <c:pt idx="182">
                  <c:v>0.18</c:v>
                </c:pt>
                <c:pt idx="183">
                  <c:v>0.18099999999999999</c:v>
                </c:pt>
                <c:pt idx="184">
                  <c:v>0.182</c:v>
                </c:pt>
                <c:pt idx="185">
                  <c:v>0.183</c:v>
                </c:pt>
                <c:pt idx="186">
                  <c:v>0.184</c:v>
                </c:pt>
                <c:pt idx="187">
                  <c:v>0.185</c:v>
                </c:pt>
                <c:pt idx="188">
                  <c:v>0.186</c:v>
                </c:pt>
                <c:pt idx="189">
                  <c:v>0.187</c:v>
                </c:pt>
                <c:pt idx="190">
                  <c:v>0.188</c:v>
                </c:pt>
                <c:pt idx="191">
                  <c:v>0.189</c:v>
                </c:pt>
                <c:pt idx="192">
                  <c:v>0.19</c:v>
                </c:pt>
                <c:pt idx="193">
                  <c:v>0.191</c:v>
                </c:pt>
                <c:pt idx="194">
                  <c:v>0.192</c:v>
                </c:pt>
                <c:pt idx="195">
                  <c:v>0.193</c:v>
                </c:pt>
                <c:pt idx="196">
                  <c:v>0.19400000000000001</c:v>
                </c:pt>
                <c:pt idx="197">
                  <c:v>0.19500000000000001</c:v>
                </c:pt>
                <c:pt idx="198">
                  <c:v>0.19600000000000001</c:v>
                </c:pt>
                <c:pt idx="199">
                  <c:v>0.19700000000000001</c:v>
                </c:pt>
                <c:pt idx="200">
                  <c:v>0.19800000000000001</c:v>
                </c:pt>
                <c:pt idx="201">
                  <c:v>0.19900000000000001</c:v>
                </c:pt>
                <c:pt idx="202">
                  <c:v>0.2</c:v>
                </c:pt>
                <c:pt idx="203">
                  <c:v>0.20100000000000001</c:v>
                </c:pt>
                <c:pt idx="204">
                  <c:v>0.20200000000000001</c:v>
                </c:pt>
                <c:pt idx="205">
                  <c:v>0.20300000000000001</c:v>
                </c:pt>
                <c:pt idx="206">
                  <c:v>0.20399999999999999</c:v>
                </c:pt>
                <c:pt idx="207">
                  <c:v>0.20499999999999999</c:v>
                </c:pt>
                <c:pt idx="208">
                  <c:v>0.20599999999999999</c:v>
                </c:pt>
                <c:pt idx="209">
                  <c:v>0.20699999999999999</c:v>
                </c:pt>
                <c:pt idx="210">
                  <c:v>0.20799999999999999</c:v>
                </c:pt>
                <c:pt idx="211">
                  <c:v>0.20899999999999999</c:v>
                </c:pt>
                <c:pt idx="212">
                  <c:v>0.21</c:v>
                </c:pt>
                <c:pt idx="213">
                  <c:v>0.21099999999999999</c:v>
                </c:pt>
                <c:pt idx="214">
                  <c:v>0.21199999999999999</c:v>
                </c:pt>
                <c:pt idx="215">
                  <c:v>0.21299999999999999</c:v>
                </c:pt>
                <c:pt idx="216">
                  <c:v>0.214</c:v>
                </c:pt>
                <c:pt idx="217">
                  <c:v>0.215</c:v>
                </c:pt>
                <c:pt idx="218">
                  <c:v>0.216</c:v>
                </c:pt>
                <c:pt idx="219">
                  <c:v>0.217</c:v>
                </c:pt>
                <c:pt idx="220">
                  <c:v>0.218</c:v>
                </c:pt>
                <c:pt idx="221">
                  <c:v>0.219</c:v>
                </c:pt>
                <c:pt idx="222">
                  <c:v>0.22</c:v>
                </c:pt>
                <c:pt idx="223">
                  <c:v>0.221</c:v>
                </c:pt>
                <c:pt idx="224">
                  <c:v>0.222</c:v>
                </c:pt>
                <c:pt idx="225">
                  <c:v>0.223</c:v>
                </c:pt>
                <c:pt idx="226">
                  <c:v>0.224</c:v>
                </c:pt>
                <c:pt idx="227">
                  <c:v>0.22500000000000001</c:v>
                </c:pt>
                <c:pt idx="228">
                  <c:v>0.22600000000000001</c:v>
                </c:pt>
                <c:pt idx="229">
                  <c:v>0.22700000000000001</c:v>
                </c:pt>
                <c:pt idx="230">
                  <c:v>0.22800000000000001</c:v>
                </c:pt>
                <c:pt idx="231">
                  <c:v>0.22900000000000001</c:v>
                </c:pt>
                <c:pt idx="232">
                  <c:v>0.23</c:v>
                </c:pt>
                <c:pt idx="233">
                  <c:v>0.23100000000000001</c:v>
                </c:pt>
                <c:pt idx="234">
                  <c:v>0.23200000000000001</c:v>
                </c:pt>
                <c:pt idx="235">
                  <c:v>0.23300000000000001</c:v>
                </c:pt>
                <c:pt idx="236">
                  <c:v>0.23400000000000001</c:v>
                </c:pt>
                <c:pt idx="237">
                  <c:v>0.23499999999999999</c:v>
                </c:pt>
                <c:pt idx="238">
                  <c:v>0.23599999999999999</c:v>
                </c:pt>
                <c:pt idx="239">
                  <c:v>0.23699999999999999</c:v>
                </c:pt>
                <c:pt idx="240">
                  <c:v>0.23799999999999999</c:v>
                </c:pt>
                <c:pt idx="241">
                  <c:v>0.23899999999999999</c:v>
                </c:pt>
                <c:pt idx="242">
                  <c:v>0.24</c:v>
                </c:pt>
                <c:pt idx="243">
                  <c:v>0.24099999999999999</c:v>
                </c:pt>
                <c:pt idx="244">
                  <c:v>0.24199999999999999</c:v>
                </c:pt>
                <c:pt idx="245">
                  <c:v>0.24299999999999999</c:v>
                </c:pt>
                <c:pt idx="246">
                  <c:v>0.24399999999999999</c:v>
                </c:pt>
                <c:pt idx="247">
                  <c:v>0.245</c:v>
                </c:pt>
                <c:pt idx="248">
                  <c:v>0.246</c:v>
                </c:pt>
                <c:pt idx="249">
                  <c:v>0.247</c:v>
                </c:pt>
                <c:pt idx="250">
                  <c:v>0.248</c:v>
                </c:pt>
                <c:pt idx="251">
                  <c:v>0.249</c:v>
                </c:pt>
                <c:pt idx="252">
                  <c:v>0.25</c:v>
                </c:pt>
                <c:pt idx="253">
                  <c:v>0.251</c:v>
                </c:pt>
                <c:pt idx="254">
                  <c:v>0.252</c:v>
                </c:pt>
                <c:pt idx="255">
                  <c:v>0.253</c:v>
                </c:pt>
                <c:pt idx="256">
                  <c:v>0.254</c:v>
                </c:pt>
                <c:pt idx="257">
                  <c:v>0.255</c:v>
                </c:pt>
                <c:pt idx="258">
                  <c:v>0.25600000000000001</c:v>
                </c:pt>
                <c:pt idx="259">
                  <c:v>0.25700000000000001</c:v>
                </c:pt>
                <c:pt idx="260">
                  <c:v>0.25800000000000001</c:v>
                </c:pt>
                <c:pt idx="261">
                  <c:v>0.25900000000000001</c:v>
                </c:pt>
                <c:pt idx="262">
                  <c:v>0.26</c:v>
                </c:pt>
                <c:pt idx="263">
                  <c:v>0.26100000000000001</c:v>
                </c:pt>
                <c:pt idx="264">
                  <c:v>0.26200000000000001</c:v>
                </c:pt>
                <c:pt idx="265">
                  <c:v>0.26300000000000001</c:v>
                </c:pt>
                <c:pt idx="266">
                  <c:v>0.26400000000000001</c:v>
                </c:pt>
                <c:pt idx="267">
                  <c:v>0.26500000000000001</c:v>
                </c:pt>
                <c:pt idx="268">
                  <c:v>0.26600000000000001</c:v>
                </c:pt>
                <c:pt idx="269">
                  <c:v>0.26700000000000002</c:v>
                </c:pt>
                <c:pt idx="270">
                  <c:v>0.26800000000000002</c:v>
                </c:pt>
                <c:pt idx="271">
                  <c:v>0.26900000000000002</c:v>
                </c:pt>
                <c:pt idx="272">
                  <c:v>0.27</c:v>
                </c:pt>
                <c:pt idx="273">
                  <c:v>0.27100000000000002</c:v>
                </c:pt>
                <c:pt idx="274">
                  <c:v>0.27200000000000002</c:v>
                </c:pt>
                <c:pt idx="275">
                  <c:v>0.27300000000000002</c:v>
                </c:pt>
                <c:pt idx="276">
                  <c:v>0.27400000000000002</c:v>
                </c:pt>
                <c:pt idx="277">
                  <c:v>0.27500000000000002</c:v>
                </c:pt>
                <c:pt idx="278">
                  <c:v>0.27600000000000002</c:v>
                </c:pt>
                <c:pt idx="279">
                  <c:v>0.27700000000000002</c:v>
                </c:pt>
                <c:pt idx="280">
                  <c:v>0.27800000000000002</c:v>
                </c:pt>
                <c:pt idx="281">
                  <c:v>0.27900000000000003</c:v>
                </c:pt>
                <c:pt idx="282">
                  <c:v>0.28000000000000003</c:v>
                </c:pt>
                <c:pt idx="283">
                  <c:v>0.28100000000000003</c:v>
                </c:pt>
                <c:pt idx="284">
                  <c:v>0.28199999999999997</c:v>
                </c:pt>
                <c:pt idx="285">
                  <c:v>0.28299999999999997</c:v>
                </c:pt>
                <c:pt idx="286">
                  <c:v>0.28399999999999997</c:v>
                </c:pt>
                <c:pt idx="287">
                  <c:v>0.28499999999999998</c:v>
                </c:pt>
                <c:pt idx="288">
                  <c:v>0.28599999999999998</c:v>
                </c:pt>
                <c:pt idx="289">
                  <c:v>0.28699999999999998</c:v>
                </c:pt>
                <c:pt idx="290">
                  <c:v>0.28799999999999998</c:v>
                </c:pt>
                <c:pt idx="291">
                  <c:v>0.28899999999999998</c:v>
                </c:pt>
                <c:pt idx="292">
                  <c:v>0.28999999999999998</c:v>
                </c:pt>
                <c:pt idx="293">
                  <c:v>0.29099999999999998</c:v>
                </c:pt>
                <c:pt idx="294">
                  <c:v>0.29199999999999998</c:v>
                </c:pt>
                <c:pt idx="295">
                  <c:v>0.29299999999999998</c:v>
                </c:pt>
                <c:pt idx="296">
                  <c:v>0.29399999999999998</c:v>
                </c:pt>
                <c:pt idx="297">
                  <c:v>0.29499999999999998</c:v>
                </c:pt>
                <c:pt idx="298">
                  <c:v>0.29599999999999999</c:v>
                </c:pt>
                <c:pt idx="299">
                  <c:v>0.29699999999999999</c:v>
                </c:pt>
                <c:pt idx="300">
                  <c:v>0.29799999999999999</c:v>
                </c:pt>
                <c:pt idx="301">
                  <c:v>0.29899999999999999</c:v>
                </c:pt>
                <c:pt idx="302">
                  <c:v>0.3</c:v>
                </c:pt>
                <c:pt idx="303">
                  <c:v>0.30099999999999999</c:v>
                </c:pt>
                <c:pt idx="304">
                  <c:v>0.30199999999999999</c:v>
                </c:pt>
                <c:pt idx="305">
                  <c:v>0.30299999999999999</c:v>
                </c:pt>
                <c:pt idx="306">
                  <c:v>0.30399999999999999</c:v>
                </c:pt>
                <c:pt idx="307">
                  <c:v>0.30499999999999999</c:v>
                </c:pt>
                <c:pt idx="308">
                  <c:v>0.30599999999999999</c:v>
                </c:pt>
                <c:pt idx="309">
                  <c:v>0.307</c:v>
                </c:pt>
                <c:pt idx="310">
                  <c:v>0.308</c:v>
                </c:pt>
                <c:pt idx="311">
                  <c:v>0.309</c:v>
                </c:pt>
                <c:pt idx="312">
                  <c:v>0.31</c:v>
                </c:pt>
                <c:pt idx="313">
                  <c:v>0.311</c:v>
                </c:pt>
                <c:pt idx="314">
                  <c:v>0.312</c:v>
                </c:pt>
                <c:pt idx="315">
                  <c:v>0.313</c:v>
                </c:pt>
                <c:pt idx="316">
                  <c:v>0.314</c:v>
                </c:pt>
                <c:pt idx="317">
                  <c:v>0.315</c:v>
                </c:pt>
                <c:pt idx="318">
                  <c:v>0.316</c:v>
                </c:pt>
                <c:pt idx="319">
                  <c:v>0.317</c:v>
                </c:pt>
                <c:pt idx="320">
                  <c:v>0.318</c:v>
                </c:pt>
                <c:pt idx="321">
                  <c:v>0.31900000000000001</c:v>
                </c:pt>
                <c:pt idx="322">
                  <c:v>0.32</c:v>
                </c:pt>
                <c:pt idx="323">
                  <c:v>0.32100000000000001</c:v>
                </c:pt>
                <c:pt idx="324">
                  <c:v>0.32200000000000001</c:v>
                </c:pt>
                <c:pt idx="325">
                  <c:v>0.32300000000000001</c:v>
                </c:pt>
                <c:pt idx="326">
                  <c:v>0.32400000000000001</c:v>
                </c:pt>
                <c:pt idx="327">
                  <c:v>0.32500000000000001</c:v>
                </c:pt>
                <c:pt idx="328">
                  <c:v>0.32600000000000001</c:v>
                </c:pt>
                <c:pt idx="329">
                  <c:v>0.32700000000000001</c:v>
                </c:pt>
                <c:pt idx="330">
                  <c:v>0.32800000000000001</c:v>
                </c:pt>
                <c:pt idx="331">
                  <c:v>0.32900000000000001</c:v>
                </c:pt>
                <c:pt idx="332">
                  <c:v>0.33</c:v>
                </c:pt>
                <c:pt idx="333">
                  <c:v>0.33100000000000002</c:v>
                </c:pt>
                <c:pt idx="334">
                  <c:v>0.33200000000000002</c:v>
                </c:pt>
                <c:pt idx="335">
                  <c:v>0.33300000000000002</c:v>
                </c:pt>
                <c:pt idx="336">
                  <c:v>0.33400000000000002</c:v>
                </c:pt>
                <c:pt idx="337">
                  <c:v>0.33500000000000002</c:v>
                </c:pt>
                <c:pt idx="338">
                  <c:v>0.33600000000000002</c:v>
                </c:pt>
                <c:pt idx="339">
                  <c:v>0.33700000000000002</c:v>
                </c:pt>
                <c:pt idx="340">
                  <c:v>0.33800000000000002</c:v>
                </c:pt>
                <c:pt idx="341">
                  <c:v>0.33900000000000002</c:v>
                </c:pt>
                <c:pt idx="342">
                  <c:v>0.34</c:v>
                </c:pt>
                <c:pt idx="343">
                  <c:v>0.34100000000000003</c:v>
                </c:pt>
                <c:pt idx="344">
                  <c:v>0.34200000000000003</c:v>
                </c:pt>
                <c:pt idx="345">
                  <c:v>0.34300000000000003</c:v>
                </c:pt>
                <c:pt idx="346">
                  <c:v>0.34399999999999997</c:v>
                </c:pt>
                <c:pt idx="347">
                  <c:v>0.34499999999999997</c:v>
                </c:pt>
                <c:pt idx="348">
                  <c:v>0.34599999999999997</c:v>
                </c:pt>
                <c:pt idx="349">
                  <c:v>0.34699999999999998</c:v>
                </c:pt>
                <c:pt idx="350">
                  <c:v>0.34799999999999998</c:v>
                </c:pt>
                <c:pt idx="351">
                  <c:v>0.34899999999999998</c:v>
                </c:pt>
                <c:pt idx="352">
                  <c:v>0.35</c:v>
                </c:pt>
                <c:pt idx="353">
                  <c:v>0.35099999999999998</c:v>
                </c:pt>
                <c:pt idx="354">
                  <c:v>0.35199999999999998</c:v>
                </c:pt>
                <c:pt idx="355">
                  <c:v>0.35299999999999998</c:v>
                </c:pt>
                <c:pt idx="356">
                  <c:v>0.35399999999999998</c:v>
                </c:pt>
                <c:pt idx="357">
                  <c:v>0.35499999999999998</c:v>
                </c:pt>
                <c:pt idx="358">
                  <c:v>0.35599999999999998</c:v>
                </c:pt>
                <c:pt idx="359">
                  <c:v>0.35699999999999998</c:v>
                </c:pt>
                <c:pt idx="360">
                  <c:v>0.35799999999999998</c:v>
                </c:pt>
                <c:pt idx="361">
                  <c:v>0.35899999999999999</c:v>
                </c:pt>
                <c:pt idx="362">
                  <c:v>0.36</c:v>
                </c:pt>
                <c:pt idx="363">
                  <c:v>0.36099999999999999</c:v>
                </c:pt>
                <c:pt idx="364">
                  <c:v>0.36199999999999999</c:v>
                </c:pt>
                <c:pt idx="365">
                  <c:v>0.36299999999999999</c:v>
                </c:pt>
                <c:pt idx="366">
                  <c:v>0.36399999999999999</c:v>
                </c:pt>
                <c:pt idx="367">
                  <c:v>0.36499999999999999</c:v>
                </c:pt>
                <c:pt idx="368">
                  <c:v>0.36599999999999999</c:v>
                </c:pt>
                <c:pt idx="369">
                  <c:v>0.36699999999999999</c:v>
                </c:pt>
                <c:pt idx="370">
                  <c:v>0.36799999999999999</c:v>
                </c:pt>
                <c:pt idx="371">
                  <c:v>0.36899999999999999</c:v>
                </c:pt>
                <c:pt idx="372">
                  <c:v>0.37</c:v>
                </c:pt>
                <c:pt idx="373">
                  <c:v>0.371</c:v>
                </c:pt>
                <c:pt idx="374">
                  <c:v>0.372</c:v>
                </c:pt>
                <c:pt idx="375">
                  <c:v>0.373</c:v>
                </c:pt>
                <c:pt idx="376">
                  <c:v>0.374</c:v>
                </c:pt>
                <c:pt idx="377">
                  <c:v>0.375</c:v>
                </c:pt>
                <c:pt idx="378">
                  <c:v>0.376</c:v>
                </c:pt>
                <c:pt idx="379">
                  <c:v>0.377</c:v>
                </c:pt>
                <c:pt idx="380">
                  <c:v>0.378</c:v>
                </c:pt>
                <c:pt idx="381">
                  <c:v>0.379</c:v>
                </c:pt>
                <c:pt idx="382">
                  <c:v>0.38</c:v>
                </c:pt>
                <c:pt idx="383">
                  <c:v>0.38100000000000001</c:v>
                </c:pt>
                <c:pt idx="384">
                  <c:v>0.38200000000000001</c:v>
                </c:pt>
                <c:pt idx="385">
                  <c:v>0.38300000000000001</c:v>
                </c:pt>
                <c:pt idx="386">
                  <c:v>0.38400000000000001</c:v>
                </c:pt>
                <c:pt idx="387">
                  <c:v>0.38500000000000001</c:v>
                </c:pt>
                <c:pt idx="388">
                  <c:v>0.38600000000000001</c:v>
                </c:pt>
                <c:pt idx="389">
                  <c:v>0.38700000000000001</c:v>
                </c:pt>
                <c:pt idx="390">
                  <c:v>0.38800000000000001</c:v>
                </c:pt>
                <c:pt idx="391">
                  <c:v>0.38900000000000001</c:v>
                </c:pt>
                <c:pt idx="392">
                  <c:v>0.39</c:v>
                </c:pt>
                <c:pt idx="393">
                  <c:v>0.39100000000000001</c:v>
                </c:pt>
                <c:pt idx="394">
                  <c:v>0.39200000000000002</c:v>
                </c:pt>
                <c:pt idx="395">
                  <c:v>0.39300000000000002</c:v>
                </c:pt>
                <c:pt idx="396">
                  <c:v>0.39400000000000002</c:v>
                </c:pt>
                <c:pt idx="397">
                  <c:v>0.39500000000000002</c:v>
                </c:pt>
                <c:pt idx="398">
                  <c:v>0.39600000000000002</c:v>
                </c:pt>
                <c:pt idx="399">
                  <c:v>0.39700000000000002</c:v>
                </c:pt>
                <c:pt idx="400">
                  <c:v>0.39800000000000002</c:v>
                </c:pt>
                <c:pt idx="401">
                  <c:v>0.39900000000000002</c:v>
                </c:pt>
                <c:pt idx="402">
                  <c:v>0.4</c:v>
                </c:pt>
                <c:pt idx="403">
                  <c:v>0.40100000000000002</c:v>
                </c:pt>
                <c:pt idx="404">
                  <c:v>0.40200000000000002</c:v>
                </c:pt>
                <c:pt idx="405">
                  <c:v>0.40300000000000002</c:v>
                </c:pt>
                <c:pt idx="406">
                  <c:v>0.40400000000000003</c:v>
                </c:pt>
                <c:pt idx="407">
                  <c:v>0.40500000000000003</c:v>
                </c:pt>
                <c:pt idx="408">
                  <c:v>0.40600000000000003</c:v>
                </c:pt>
                <c:pt idx="409">
                  <c:v>0.40699999999999997</c:v>
                </c:pt>
                <c:pt idx="410">
                  <c:v>0.40799999999999997</c:v>
                </c:pt>
                <c:pt idx="411">
                  <c:v>0.40899999999999997</c:v>
                </c:pt>
                <c:pt idx="412">
                  <c:v>0.41</c:v>
                </c:pt>
                <c:pt idx="413">
                  <c:v>0.41099999999999998</c:v>
                </c:pt>
                <c:pt idx="414">
                  <c:v>0.41199999999999998</c:v>
                </c:pt>
                <c:pt idx="415">
                  <c:v>0.41299999999999998</c:v>
                </c:pt>
                <c:pt idx="416">
                  <c:v>0.41399999999999998</c:v>
                </c:pt>
                <c:pt idx="417">
                  <c:v>0.41499999999999998</c:v>
                </c:pt>
                <c:pt idx="418">
                  <c:v>0.41599999999999998</c:v>
                </c:pt>
                <c:pt idx="419">
                  <c:v>0.41699999999999998</c:v>
                </c:pt>
                <c:pt idx="420">
                  <c:v>0.41799999999999998</c:v>
                </c:pt>
                <c:pt idx="421">
                  <c:v>0.41899999999999998</c:v>
                </c:pt>
                <c:pt idx="422">
                  <c:v>0.42</c:v>
                </c:pt>
                <c:pt idx="423">
                  <c:v>0.42099999999999999</c:v>
                </c:pt>
                <c:pt idx="424">
                  <c:v>0.42199999999999999</c:v>
                </c:pt>
                <c:pt idx="425">
                  <c:v>0.42299999999999999</c:v>
                </c:pt>
                <c:pt idx="426">
                  <c:v>0.42399999999999999</c:v>
                </c:pt>
                <c:pt idx="427">
                  <c:v>0.42499999999999999</c:v>
                </c:pt>
                <c:pt idx="428">
                  <c:v>0.42599999999999999</c:v>
                </c:pt>
                <c:pt idx="429">
                  <c:v>0.42699999999999999</c:v>
                </c:pt>
                <c:pt idx="430">
                  <c:v>0.42799999999999999</c:v>
                </c:pt>
                <c:pt idx="431">
                  <c:v>0.42899999999999999</c:v>
                </c:pt>
                <c:pt idx="432">
                  <c:v>0.43</c:v>
                </c:pt>
                <c:pt idx="433">
                  <c:v>0.43099999999999999</c:v>
                </c:pt>
                <c:pt idx="434">
                  <c:v>0.432</c:v>
                </c:pt>
                <c:pt idx="435">
                  <c:v>0.433</c:v>
                </c:pt>
                <c:pt idx="436">
                  <c:v>0.434</c:v>
                </c:pt>
                <c:pt idx="437">
                  <c:v>0.435</c:v>
                </c:pt>
                <c:pt idx="438">
                  <c:v>0.436</c:v>
                </c:pt>
                <c:pt idx="439">
                  <c:v>0.437</c:v>
                </c:pt>
                <c:pt idx="440">
                  <c:v>0.438</c:v>
                </c:pt>
                <c:pt idx="441">
                  <c:v>0.439</c:v>
                </c:pt>
                <c:pt idx="442">
                  <c:v>0.44</c:v>
                </c:pt>
                <c:pt idx="443">
                  <c:v>0.441</c:v>
                </c:pt>
                <c:pt idx="444">
                  <c:v>0.442</c:v>
                </c:pt>
                <c:pt idx="445">
                  <c:v>0.443</c:v>
                </c:pt>
                <c:pt idx="446">
                  <c:v>0.44400000000000001</c:v>
                </c:pt>
                <c:pt idx="447">
                  <c:v>0.44500000000000001</c:v>
                </c:pt>
                <c:pt idx="448">
                  <c:v>0.44600000000000001</c:v>
                </c:pt>
                <c:pt idx="449">
                  <c:v>0.44700000000000001</c:v>
                </c:pt>
                <c:pt idx="450">
                  <c:v>0.44800000000000001</c:v>
                </c:pt>
                <c:pt idx="451">
                  <c:v>0.44900000000000001</c:v>
                </c:pt>
                <c:pt idx="452">
                  <c:v>0.45</c:v>
                </c:pt>
                <c:pt idx="453">
                  <c:v>0.45100000000000001</c:v>
                </c:pt>
                <c:pt idx="454">
                  <c:v>0.45200000000000001</c:v>
                </c:pt>
                <c:pt idx="455">
                  <c:v>0.45300000000000001</c:v>
                </c:pt>
                <c:pt idx="456">
                  <c:v>0.45400000000000001</c:v>
                </c:pt>
                <c:pt idx="457">
                  <c:v>0.45500000000000002</c:v>
                </c:pt>
                <c:pt idx="458">
                  <c:v>0.45600000000000002</c:v>
                </c:pt>
                <c:pt idx="459">
                  <c:v>0.45700000000000002</c:v>
                </c:pt>
                <c:pt idx="460">
                  <c:v>0.45800000000000002</c:v>
                </c:pt>
                <c:pt idx="461">
                  <c:v>0.45900000000000002</c:v>
                </c:pt>
                <c:pt idx="462">
                  <c:v>0.46</c:v>
                </c:pt>
                <c:pt idx="463">
                  <c:v>0.46100000000000002</c:v>
                </c:pt>
                <c:pt idx="464">
                  <c:v>0.46200000000000002</c:v>
                </c:pt>
                <c:pt idx="465">
                  <c:v>0.46300000000000002</c:v>
                </c:pt>
                <c:pt idx="466">
                  <c:v>0.46400000000000002</c:v>
                </c:pt>
                <c:pt idx="467">
                  <c:v>0.46500000000000002</c:v>
                </c:pt>
                <c:pt idx="468">
                  <c:v>0.46600000000000003</c:v>
                </c:pt>
                <c:pt idx="469">
                  <c:v>0.46700000000000003</c:v>
                </c:pt>
                <c:pt idx="470">
                  <c:v>0.46800000000000003</c:v>
                </c:pt>
                <c:pt idx="471">
                  <c:v>0.46899999999999997</c:v>
                </c:pt>
                <c:pt idx="472">
                  <c:v>0.47</c:v>
                </c:pt>
                <c:pt idx="473">
                  <c:v>0.47099999999999997</c:v>
                </c:pt>
                <c:pt idx="474">
                  <c:v>0.47199999999999998</c:v>
                </c:pt>
                <c:pt idx="475">
                  <c:v>0.47299999999999998</c:v>
                </c:pt>
                <c:pt idx="476">
                  <c:v>0.47399999999999998</c:v>
                </c:pt>
                <c:pt idx="477">
                  <c:v>0.47499999999999998</c:v>
                </c:pt>
                <c:pt idx="478">
                  <c:v>0.47599999999999998</c:v>
                </c:pt>
                <c:pt idx="479">
                  <c:v>0.47699999999999998</c:v>
                </c:pt>
                <c:pt idx="480">
                  <c:v>0.47799999999999998</c:v>
                </c:pt>
                <c:pt idx="481">
                  <c:v>0.47899999999999998</c:v>
                </c:pt>
                <c:pt idx="482">
                  <c:v>0.48</c:v>
                </c:pt>
                <c:pt idx="483">
                  <c:v>0.48099999999999998</c:v>
                </c:pt>
                <c:pt idx="484">
                  <c:v>0.48199999999999998</c:v>
                </c:pt>
                <c:pt idx="485">
                  <c:v>0.48299999999999998</c:v>
                </c:pt>
                <c:pt idx="486">
                  <c:v>0.48399999999999999</c:v>
                </c:pt>
                <c:pt idx="487">
                  <c:v>0.48499999999999999</c:v>
                </c:pt>
                <c:pt idx="488">
                  <c:v>0.48599999999999999</c:v>
                </c:pt>
                <c:pt idx="489">
                  <c:v>0.48699999999999999</c:v>
                </c:pt>
                <c:pt idx="490">
                  <c:v>0.48799999999999999</c:v>
                </c:pt>
                <c:pt idx="491">
                  <c:v>0.48899999999999999</c:v>
                </c:pt>
                <c:pt idx="492">
                  <c:v>0.49</c:v>
                </c:pt>
                <c:pt idx="493">
                  <c:v>0.49099999999999999</c:v>
                </c:pt>
                <c:pt idx="494">
                  <c:v>0.49199999999999999</c:v>
                </c:pt>
                <c:pt idx="495">
                  <c:v>0.49299999999999999</c:v>
                </c:pt>
                <c:pt idx="496">
                  <c:v>0.49399999999999999</c:v>
                </c:pt>
                <c:pt idx="497">
                  <c:v>0.495</c:v>
                </c:pt>
                <c:pt idx="498">
                  <c:v>0.496</c:v>
                </c:pt>
                <c:pt idx="499">
                  <c:v>0.497</c:v>
                </c:pt>
                <c:pt idx="500">
                  <c:v>0.498</c:v>
                </c:pt>
                <c:pt idx="501">
                  <c:v>0.499</c:v>
                </c:pt>
                <c:pt idx="502">
                  <c:v>0.5</c:v>
                </c:pt>
                <c:pt idx="503">
                  <c:v>0.501</c:v>
                </c:pt>
                <c:pt idx="504">
                  <c:v>0.502</c:v>
                </c:pt>
                <c:pt idx="505">
                  <c:v>0.503</c:v>
                </c:pt>
                <c:pt idx="506">
                  <c:v>0.504</c:v>
                </c:pt>
                <c:pt idx="507">
                  <c:v>0.505</c:v>
                </c:pt>
                <c:pt idx="508">
                  <c:v>0.50600000000000001</c:v>
                </c:pt>
                <c:pt idx="509">
                  <c:v>0.50700000000000001</c:v>
                </c:pt>
                <c:pt idx="510">
                  <c:v>0.50800000000000001</c:v>
                </c:pt>
                <c:pt idx="511">
                  <c:v>0.50900000000000001</c:v>
                </c:pt>
                <c:pt idx="512">
                  <c:v>0.51</c:v>
                </c:pt>
                <c:pt idx="513">
                  <c:v>0.51100000000000001</c:v>
                </c:pt>
                <c:pt idx="514">
                  <c:v>0.51200000000000001</c:v>
                </c:pt>
                <c:pt idx="515">
                  <c:v>0.51300000000000001</c:v>
                </c:pt>
                <c:pt idx="516">
                  <c:v>0.51400000000000001</c:v>
                </c:pt>
                <c:pt idx="517">
                  <c:v>0.51500000000000001</c:v>
                </c:pt>
                <c:pt idx="518">
                  <c:v>0.51600000000000001</c:v>
                </c:pt>
                <c:pt idx="519">
                  <c:v>0.51700000000000002</c:v>
                </c:pt>
                <c:pt idx="520">
                  <c:v>0.51800000000000002</c:v>
                </c:pt>
                <c:pt idx="521">
                  <c:v>0.51900000000000002</c:v>
                </c:pt>
                <c:pt idx="522">
                  <c:v>0.52</c:v>
                </c:pt>
                <c:pt idx="523">
                  <c:v>0.52100000000000002</c:v>
                </c:pt>
                <c:pt idx="524">
                  <c:v>0.52200000000000002</c:v>
                </c:pt>
                <c:pt idx="525">
                  <c:v>0.52300000000000002</c:v>
                </c:pt>
                <c:pt idx="526">
                  <c:v>0.52400000000000002</c:v>
                </c:pt>
                <c:pt idx="527">
                  <c:v>0.52500000000000002</c:v>
                </c:pt>
                <c:pt idx="528">
                  <c:v>0.52600000000000002</c:v>
                </c:pt>
                <c:pt idx="529">
                  <c:v>0.52700000000000002</c:v>
                </c:pt>
                <c:pt idx="530">
                  <c:v>0.52800000000000002</c:v>
                </c:pt>
                <c:pt idx="531">
                  <c:v>0.52900000000000003</c:v>
                </c:pt>
                <c:pt idx="532">
                  <c:v>0.53</c:v>
                </c:pt>
                <c:pt idx="533">
                  <c:v>0.53100000000000003</c:v>
                </c:pt>
                <c:pt idx="534">
                  <c:v>0.53200000000000003</c:v>
                </c:pt>
                <c:pt idx="535">
                  <c:v>0.53300000000000003</c:v>
                </c:pt>
                <c:pt idx="536">
                  <c:v>0.53400000000000003</c:v>
                </c:pt>
                <c:pt idx="537">
                  <c:v>0.53500000000000003</c:v>
                </c:pt>
                <c:pt idx="538">
                  <c:v>0.53600000000000003</c:v>
                </c:pt>
                <c:pt idx="539">
                  <c:v>0.53700000000000003</c:v>
                </c:pt>
                <c:pt idx="540">
                  <c:v>0.53800000000000003</c:v>
                </c:pt>
                <c:pt idx="541">
                  <c:v>0.53900000000000003</c:v>
                </c:pt>
                <c:pt idx="542">
                  <c:v>0.54</c:v>
                </c:pt>
                <c:pt idx="543">
                  <c:v>0.54100000000000004</c:v>
                </c:pt>
                <c:pt idx="544">
                  <c:v>0.54200000000000004</c:v>
                </c:pt>
                <c:pt idx="545">
                  <c:v>0.54300000000000004</c:v>
                </c:pt>
                <c:pt idx="546">
                  <c:v>0.54400000000000004</c:v>
                </c:pt>
                <c:pt idx="547">
                  <c:v>0.54500000000000004</c:v>
                </c:pt>
                <c:pt idx="548">
                  <c:v>0.54600000000000004</c:v>
                </c:pt>
                <c:pt idx="549">
                  <c:v>0.54700000000000004</c:v>
                </c:pt>
                <c:pt idx="550">
                  <c:v>0.54800000000000004</c:v>
                </c:pt>
                <c:pt idx="551">
                  <c:v>0.54900000000000004</c:v>
                </c:pt>
                <c:pt idx="552">
                  <c:v>0.55000000000000004</c:v>
                </c:pt>
                <c:pt idx="553">
                  <c:v>0.55100000000000005</c:v>
                </c:pt>
                <c:pt idx="554">
                  <c:v>0.55200000000000005</c:v>
                </c:pt>
                <c:pt idx="555">
                  <c:v>0.55300000000000005</c:v>
                </c:pt>
                <c:pt idx="556">
                  <c:v>0.55400000000000005</c:v>
                </c:pt>
                <c:pt idx="557">
                  <c:v>0.55500000000000005</c:v>
                </c:pt>
                <c:pt idx="558">
                  <c:v>0.55600000000000005</c:v>
                </c:pt>
                <c:pt idx="559">
                  <c:v>0.55700000000000005</c:v>
                </c:pt>
                <c:pt idx="560">
                  <c:v>0.55800000000000005</c:v>
                </c:pt>
                <c:pt idx="561">
                  <c:v>0.55900000000000005</c:v>
                </c:pt>
                <c:pt idx="562">
                  <c:v>0.56000000000000005</c:v>
                </c:pt>
                <c:pt idx="563">
                  <c:v>0.56100000000000005</c:v>
                </c:pt>
                <c:pt idx="564">
                  <c:v>0.56200000000000006</c:v>
                </c:pt>
                <c:pt idx="565">
                  <c:v>0.56299999999999994</c:v>
                </c:pt>
                <c:pt idx="566">
                  <c:v>0.56399999999999995</c:v>
                </c:pt>
                <c:pt idx="567">
                  <c:v>0.56499999999999995</c:v>
                </c:pt>
                <c:pt idx="568">
                  <c:v>0.56599999999999995</c:v>
                </c:pt>
                <c:pt idx="569">
                  <c:v>0.56699999999999995</c:v>
                </c:pt>
                <c:pt idx="570">
                  <c:v>0.56799999999999995</c:v>
                </c:pt>
                <c:pt idx="571">
                  <c:v>0.56899999999999995</c:v>
                </c:pt>
                <c:pt idx="572">
                  <c:v>0.56999999999999995</c:v>
                </c:pt>
                <c:pt idx="573">
                  <c:v>0.57099999999999995</c:v>
                </c:pt>
                <c:pt idx="574">
                  <c:v>0.57199999999999995</c:v>
                </c:pt>
                <c:pt idx="575">
                  <c:v>0.57299999999999995</c:v>
                </c:pt>
                <c:pt idx="576">
                  <c:v>0.57399999999999995</c:v>
                </c:pt>
                <c:pt idx="577">
                  <c:v>0.57499999999999996</c:v>
                </c:pt>
                <c:pt idx="578">
                  <c:v>0.57599999999999996</c:v>
                </c:pt>
                <c:pt idx="579">
                  <c:v>0.57699999999999996</c:v>
                </c:pt>
                <c:pt idx="580">
                  <c:v>0.57799999999999996</c:v>
                </c:pt>
                <c:pt idx="581">
                  <c:v>0.57899999999999996</c:v>
                </c:pt>
                <c:pt idx="582">
                  <c:v>0.57999999999999996</c:v>
                </c:pt>
                <c:pt idx="583">
                  <c:v>0.58099999999999996</c:v>
                </c:pt>
                <c:pt idx="584">
                  <c:v>0.58199999999999996</c:v>
                </c:pt>
                <c:pt idx="585">
                  <c:v>0.58299999999999996</c:v>
                </c:pt>
                <c:pt idx="586">
                  <c:v>0.58399999999999996</c:v>
                </c:pt>
                <c:pt idx="587">
                  <c:v>0.58499999999999996</c:v>
                </c:pt>
                <c:pt idx="588">
                  <c:v>0.58599999999999997</c:v>
                </c:pt>
                <c:pt idx="589">
                  <c:v>0.58699999999999997</c:v>
                </c:pt>
                <c:pt idx="590">
                  <c:v>0.58799999999999997</c:v>
                </c:pt>
                <c:pt idx="591">
                  <c:v>0.58899999999999997</c:v>
                </c:pt>
                <c:pt idx="592">
                  <c:v>0.59</c:v>
                </c:pt>
                <c:pt idx="593">
                  <c:v>0.59099999999999997</c:v>
                </c:pt>
                <c:pt idx="594">
                  <c:v>0.59199999999999997</c:v>
                </c:pt>
                <c:pt idx="595">
                  <c:v>0.59299999999999997</c:v>
                </c:pt>
                <c:pt idx="596">
                  <c:v>0.59399999999999997</c:v>
                </c:pt>
                <c:pt idx="597">
                  <c:v>0.59499999999999997</c:v>
                </c:pt>
                <c:pt idx="598">
                  <c:v>0.59599999999999997</c:v>
                </c:pt>
                <c:pt idx="599">
                  <c:v>0.59699999999999998</c:v>
                </c:pt>
                <c:pt idx="600">
                  <c:v>0.59799999999999998</c:v>
                </c:pt>
                <c:pt idx="601">
                  <c:v>0.59899999999999998</c:v>
                </c:pt>
                <c:pt idx="602">
                  <c:v>0.6</c:v>
                </c:pt>
                <c:pt idx="603">
                  <c:v>0.60099999999999998</c:v>
                </c:pt>
                <c:pt idx="604">
                  <c:v>0.60199999999999998</c:v>
                </c:pt>
                <c:pt idx="605">
                  <c:v>0.60299999999999998</c:v>
                </c:pt>
                <c:pt idx="606">
                  <c:v>0.60399999999999998</c:v>
                </c:pt>
                <c:pt idx="607">
                  <c:v>0.60499999999999998</c:v>
                </c:pt>
                <c:pt idx="608">
                  <c:v>0.60599999999999998</c:v>
                </c:pt>
                <c:pt idx="609">
                  <c:v>0.60699999999999998</c:v>
                </c:pt>
                <c:pt idx="610">
                  <c:v>0.60799999999999998</c:v>
                </c:pt>
                <c:pt idx="611">
                  <c:v>0.60899999999999999</c:v>
                </c:pt>
                <c:pt idx="612">
                  <c:v>0.61</c:v>
                </c:pt>
                <c:pt idx="613">
                  <c:v>0.61099999999999999</c:v>
                </c:pt>
                <c:pt idx="614">
                  <c:v>0.61199999999999999</c:v>
                </c:pt>
                <c:pt idx="615">
                  <c:v>0.61299999999999999</c:v>
                </c:pt>
                <c:pt idx="616">
                  <c:v>0.61399999999999999</c:v>
                </c:pt>
                <c:pt idx="617">
                  <c:v>0.61499999999999999</c:v>
                </c:pt>
                <c:pt idx="618">
                  <c:v>0.61599999999999999</c:v>
                </c:pt>
                <c:pt idx="619">
                  <c:v>0.61699999999999999</c:v>
                </c:pt>
                <c:pt idx="620">
                  <c:v>0.61799999999999999</c:v>
                </c:pt>
                <c:pt idx="621">
                  <c:v>0.61899999999999999</c:v>
                </c:pt>
                <c:pt idx="622">
                  <c:v>0.62</c:v>
                </c:pt>
                <c:pt idx="623">
                  <c:v>0.621</c:v>
                </c:pt>
                <c:pt idx="624">
                  <c:v>0.622</c:v>
                </c:pt>
                <c:pt idx="625">
                  <c:v>0.623</c:v>
                </c:pt>
                <c:pt idx="626">
                  <c:v>0.624</c:v>
                </c:pt>
                <c:pt idx="627">
                  <c:v>0.625</c:v>
                </c:pt>
                <c:pt idx="628">
                  <c:v>0.626</c:v>
                </c:pt>
                <c:pt idx="629">
                  <c:v>0.627</c:v>
                </c:pt>
                <c:pt idx="630">
                  <c:v>0.628</c:v>
                </c:pt>
                <c:pt idx="631">
                  <c:v>0.629</c:v>
                </c:pt>
                <c:pt idx="632">
                  <c:v>0.63</c:v>
                </c:pt>
                <c:pt idx="633">
                  <c:v>0.63100000000000001</c:v>
                </c:pt>
                <c:pt idx="634">
                  <c:v>0.63200000000000001</c:v>
                </c:pt>
                <c:pt idx="635">
                  <c:v>0.63300000000000001</c:v>
                </c:pt>
                <c:pt idx="636">
                  <c:v>0.63400000000000001</c:v>
                </c:pt>
                <c:pt idx="637">
                  <c:v>0.63500000000000001</c:v>
                </c:pt>
                <c:pt idx="638">
                  <c:v>0.63600000000000001</c:v>
                </c:pt>
                <c:pt idx="639">
                  <c:v>0.63700000000000001</c:v>
                </c:pt>
                <c:pt idx="640">
                  <c:v>0.63800000000000001</c:v>
                </c:pt>
                <c:pt idx="641">
                  <c:v>0.63900000000000001</c:v>
                </c:pt>
                <c:pt idx="642">
                  <c:v>0.64</c:v>
                </c:pt>
                <c:pt idx="643">
                  <c:v>0.64100000000000001</c:v>
                </c:pt>
                <c:pt idx="644">
                  <c:v>0.64200000000000002</c:v>
                </c:pt>
                <c:pt idx="645">
                  <c:v>0.64300000000000002</c:v>
                </c:pt>
                <c:pt idx="646">
                  <c:v>0.64400000000000002</c:v>
                </c:pt>
                <c:pt idx="647">
                  <c:v>0.64500000000000002</c:v>
                </c:pt>
                <c:pt idx="648">
                  <c:v>0.64600000000000002</c:v>
                </c:pt>
                <c:pt idx="649">
                  <c:v>0.64700000000000002</c:v>
                </c:pt>
                <c:pt idx="650">
                  <c:v>0.64800000000000002</c:v>
                </c:pt>
                <c:pt idx="651">
                  <c:v>0.64900000000000002</c:v>
                </c:pt>
                <c:pt idx="652">
                  <c:v>0.65</c:v>
                </c:pt>
                <c:pt idx="653">
                  <c:v>0.65100000000000002</c:v>
                </c:pt>
                <c:pt idx="654">
                  <c:v>0.65200000000000002</c:v>
                </c:pt>
                <c:pt idx="655">
                  <c:v>0.65300000000000002</c:v>
                </c:pt>
                <c:pt idx="656">
                  <c:v>0.65400000000000003</c:v>
                </c:pt>
                <c:pt idx="657">
                  <c:v>0.65500000000000003</c:v>
                </c:pt>
                <c:pt idx="658">
                  <c:v>0.65600000000000003</c:v>
                </c:pt>
                <c:pt idx="659">
                  <c:v>0.65700000000000003</c:v>
                </c:pt>
                <c:pt idx="660">
                  <c:v>0.65800000000000003</c:v>
                </c:pt>
                <c:pt idx="661">
                  <c:v>0.65900000000000003</c:v>
                </c:pt>
                <c:pt idx="662">
                  <c:v>0.66</c:v>
                </c:pt>
                <c:pt idx="663">
                  <c:v>0.66100000000000003</c:v>
                </c:pt>
                <c:pt idx="664">
                  <c:v>0.66200000000000003</c:v>
                </c:pt>
                <c:pt idx="665">
                  <c:v>0.66300000000000003</c:v>
                </c:pt>
                <c:pt idx="666">
                  <c:v>0.66400000000000003</c:v>
                </c:pt>
                <c:pt idx="667">
                  <c:v>0.66500000000000004</c:v>
                </c:pt>
                <c:pt idx="668">
                  <c:v>0.66600000000000004</c:v>
                </c:pt>
                <c:pt idx="669">
                  <c:v>0.66700000000000004</c:v>
                </c:pt>
                <c:pt idx="670">
                  <c:v>0.66800000000000004</c:v>
                </c:pt>
                <c:pt idx="671">
                  <c:v>0.66900000000000004</c:v>
                </c:pt>
                <c:pt idx="672">
                  <c:v>0.67</c:v>
                </c:pt>
                <c:pt idx="673">
                  <c:v>0.67100000000000004</c:v>
                </c:pt>
                <c:pt idx="674">
                  <c:v>0.67200000000000004</c:v>
                </c:pt>
                <c:pt idx="675">
                  <c:v>0.67300000000000004</c:v>
                </c:pt>
                <c:pt idx="676">
                  <c:v>0.67400000000000004</c:v>
                </c:pt>
                <c:pt idx="677">
                  <c:v>0.67500000000000004</c:v>
                </c:pt>
                <c:pt idx="678">
                  <c:v>0.67600000000000005</c:v>
                </c:pt>
                <c:pt idx="679">
                  <c:v>0.67700000000000005</c:v>
                </c:pt>
                <c:pt idx="680">
                  <c:v>0.67800000000000005</c:v>
                </c:pt>
                <c:pt idx="681">
                  <c:v>0.67900000000000005</c:v>
                </c:pt>
                <c:pt idx="682">
                  <c:v>0.68</c:v>
                </c:pt>
                <c:pt idx="683">
                  <c:v>0.68100000000000005</c:v>
                </c:pt>
                <c:pt idx="684">
                  <c:v>0.68200000000000005</c:v>
                </c:pt>
                <c:pt idx="685">
                  <c:v>0.68300000000000005</c:v>
                </c:pt>
                <c:pt idx="686">
                  <c:v>0.68400000000000005</c:v>
                </c:pt>
                <c:pt idx="687">
                  <c:v>0.68500000000000005</c:v>
                </c:pt>
                <c:pt idx="688">
                  <c:v>0.68600000000000005</c:v>
                </c:pt>
                <c:pt idx="689">
                  <c:v>0.68700000000000006</c:v>
                </c:pt>
                <c:pt idx="690">
                  <c:v>0.68799999999999994</c:v>
                </c:pt>
                <c:pt idx="691">
                  <c:v>0.68899999999999995</c:v>
                </c:pt>
                <c:pt idx="692">
                  <c:v>0.69</c:v>
                </c:pt>
                <c:pt idx="693">
                  <c:v>0.69099999999999995</c:v>
                </c:pt>
                <c:pt idx="694">
                  <c:v>0.69199999999999995</c:v>
                </c:pt>
                <c:pt idx="695">
                  <c:v>0.69299999999999995</c:v>
                </c:pt>
                <c:pt idx="696">
                  <c:v>0.69399999999999995</c:v>
                </c:pt>
                <c:pt idx="697">
                  <c:v>0.69499999999999995</c:v>
                </c:pt>
                <c:pt idx="698">
                  <c:v>0.69599999999999995</c:v>
                </c:pt>
                <c:pt idx="699">
                  <c:v>0.69699999999999995</c:v>
                </c:pt>
                <c:pt idx="700">
                  <c:v>0.69799999999999995</c:v>
                </c:pt>
                <c:pt idx="701">
                  <c:v>0.69899999999999995</c:v>
                </c:pt>
                <c:pt idx="702">
                  <c:v>0.7</c:v>
                </c:pt>
                <c:pt idx="703">
                  <c:v>0.70099999999999996</c:v>
                </c:pt>
                <c:pt idx="704">
                  <c:v>0.70199999999999996</c:v>
                </c:pt>
                <c:pt idx="705">
                  <c:v>0.70299999999999996</c:v>
                </c:pt>
                <c:pt idx="706">
                  <c:v>0.70399999999999996</c:v>
                </c:pt>
                <c:pt idx="707">
                  <c:v>0.70499999999999996</c:v>
                </c:pt>
                <c:pt idx="708">
                  <c:v>0.70599999999999996</c:v>
                </c:pt>
                <c:pt idx="709">
                  <c:v>0.70699999999999996</c:v>
                </c:pt>
                <c:pt idx="710">
                  <c:v>0.70799999999999996</c:v>
                </c:pt>
                <c:pt idx="711">
                  <c:v>0.70899999999999996</c:v>
                </c:pt>
                <c:pt idx="712">
                  <c:v>0.71</c:v>
                </c:pt>
                <c:pt idx="713">
                  <c:v>0.71099999999999997</c:v>
                </c:pt>
                <c:pt idx="714">
                  <c:v>0.71199999999999997</c:v>
                </c:pt>
                <c:pt idx="715">
                  <c:v>0.71299999999999997</c:v>
                </c:pt>
                <c:pt idx="716">
                  <c:v>0.71399999999999997</c:v>
                </c:pt>
                <c:pt idx="717">
                  <c:v>0.71499999999999997</c:v>
                </c:pt>
                <c:pt idx="718">
                  <c:v>0.71599999999999997</c:v>
                </c:pt>
                <c:pt idx="719">
                  <c:v>0.71699999999999997</c:v>
                </c:pt>
                <c:pt idx="720">
                  <c:v>0.71799999999999997</c:v>
                </c:pt>
                <c:pt idx="721">
                  <c:v>0.71899999999999997</c:v>
                </c:pt>
                <c:pt idx="722">
                  <c:v>0.72</c:v>
                </c:pt>
                <c:pt idx="723">
                  <c:v>0.72099999999999997</c:v>
                </c:pt>
                <c:pt idx="724">
                  <c:v>0.72199999999999998</c:v>
                </c:pt>
                <c:pt idx="725">
                  <c:v>0.72299999999999998</c:v>
                </c:pt>
                <c:pt idx="726">
                  <c:v>0.72399999999999998</c:v>
                </c:pt>
                <c:pt idx="727">
                  <c:v>0.72499999999999998</c:v>
                </c:pt>
                <c:pt idx="728">
                  <c:v>0.72599999999999998</c:v>
                </c:pt>
                <c:pt idx="729">
                  <c:v>0.72699999999999998</c:v>
                </c:pt>
                <c:pt idx="730">
                  <c:v>0.72799999999999998</c:v>
                </c:pt>
                <c:pt idx="731">
                  <c:v>0.72899999999999998</c:v>
                </c:pt>
                <c:pt idx="732">
                  <c:v>0.73</c:v>
                </c:pt>
                <c:pt idx="733">
                  <c:v>0.73099999999999998</c:v>
                </c:pt>
                <c:pt idx="734">
                  <c:v>0.73199999999999998</c:v>
                </c:pt>
                <c:pt idx="735">
                  <c:v>0.73299999999999998</c:v>
                </c:pt>
                <c:pt idx="736">
                  <c:v>0.73399999999999999</c:v>
                </c:pt>
                <c:pt idx="737">
                  <c:v>0.73499999999999999</c:v>
                </c:pt>
                <c:pt idx="738">
                  <c:v>0.73599999999999999</c:v>
                </c:pt>
                <c:pt idx="739">
                  <c:v>0.73699999999999999</c:v>
                </c:pt>
                <c:pt idx="740">
                  <c:v>0.73799999999999999</c:v>
                </c:pt>
                <c:pt idx="741">
                  <c:v>0.73899999999999999</c:v>
                </c:pt>
                <c:pt idx="742">
                  <c:v>0.74</c:v>
                </c:pt>
                <c:pt idx="743">
                  <c:v>0.74099999999999999</c:v>
                </c:pt>
                <c:pt idx="744">
                  <c:v>0.74199999999999999</c:v>
                </c:pt>
                <c:pt idx="745">
                  <c:v>0.74299999999999999</c:v>
                </c:pt>
                <c:pt idx="746">
                  <c:v>0.74399999999999999</c:v>
                </c:pt>
                <c:pt idx="747">
                  <c:v>0.745</c:v>
                </c:pt>
                <c:pt idx="748">
                  <c:v>0.746</c:v>
                </c:pt>
                <c:pt idx="749">
                  <c:v>0.747</c:v>
                </c:pt>
                <c:pt idx="750">
                  <c:v>0.748</c:v>
                </c:pt>
                <c:pt idx="751">
                  <c:v>0.749</c:v>
                </c:pt>
                <c:pt idx="752">
                  <c:v>0.75</c:v>
                </c:pt>
                <c:pt idx="753">
                  <c:v>0.751</c:v>
                </c:pt>
                <c:pt idx="754">
                  <c:v>0.752</c:v>
                </c:pt>
                <c:pt idx="755">
                  <c:v>0.753</c:v>
                </c:pt>
                <c:pt idx="756">
                  <c:v>0.754</c:v>
                </c:pt>
                <c:pt idx="757">
                  <c:v>0.755</c:v>
                </c:pt>
                <c:pt idx="758">
                  <c:v>0.75600000000000001</c:v>
                </c:pt>
                <c:pt idx="759">
                  <c:v>0.75700000000000001</c:v>
                </c:pt>
                <c:pt idx="760">
                  <c:v>0.75800000000000001</c:v>
                </c:pt>
                <c:pt idx="761">
                  <c:v>0.75900000000000001</c:v>
                </c:pt>
                <c:pt idx="762">
                  <c:v>0.76</c:v>
                </c:pt>
                <c:pt idx="763">
                  <c:v>0.76100000000000001</c:v>
                </c:pt>
                <c:pt idx="764">
                  <c:v>0.76200000000000001</c:v>
                </c:pt>
                <c:pt idx="765">
                  <c:v>0.76300000000000001</c:v>
                </c:pt>
                <c:pt idx="766">
                  <c:v>0.76400000000000001</c:v>
                </c:pt>
                <c:pt idx="767">
                  <c:v>0.76500000000000001</c:v>
                </c:pt>
                <c:pt idx="768">
                  <c:v>0.76600000000000001</c:v>
                </c:pt>
                <c:pt idx="769">
                  <c:v>0.76700000000000002</c:v>
                </c:pt>
                <c:pt idx="770">
                  <c:v>0.76800000000000002</c:v>
                </c:pt>
                <c:pt idx="771">
                  <c:v>0.76900000000000002</c:v>
                </c:pt>
                <c:pt idx="772">
                  <c:v>0.77</c:v>
                </c:pt>
                <c:pt idx="773">
                  <c:v>0.77100000000000002</c:v>
                </c:pt>
                <c:pt idx="774">
                  <c:v>0.77200000000000002</c:v>
                </c:pt>
                <c:pt idx="775">
                  <c:v>0.77300000000000002</c:v>
                </c:pt>
                <c:pt idx="776">
                  <c:v>0.77400000000000002</c:v>
                </c:pt>
                <c:pt idx="777">
                  <c:v>0.77500000000000002</c:v>
                </c:pt>
                <c:pt idx="778">
                  <c:v>0.77600000000000002</c:v>
                </c:pt>
                <c:pt idx="779">
                  <c:v>0.77700000000000002</c:v>
                </c:pt>
                <c:pt idx="780">
                  <c:v>0.77800000000000002</c:v>
                </c:pt>
                <c:pt idx="781">
                  <c:v>0.77900000000000003</c:v>
                </c:pt>
                <c:pt idx="782">
                  <c:v>0.78</c:v>
                </c:pt>
                <c:pt idx="783">
                  <c:v>0.78100000000000003</c:v>
                </c:pt>
                <c:pt idx="784">
                  <c:v>0.78200000000000003</c:v>
                </c:pt>
                <c:pt idx="785">
                  <c:v>0.78300000000000003</c:v>
                </c:pt>
                <c:pt idx="786">
                  <c:v>0.78400000000000003</c:v>
                </c:pt>
                <c:pt idx="787">
                  <c:v>0.78500000000000003</c:v>
                </c:pt>
                <c:pt idx="788">
                  <c:v>0.78600000000000003</c:v>
                </c:pt>
                <c:pt idx="789">
                  <c:v>0.78700000000000003</c:v>
                </c:pt>
                <c:pt idx="790">
                  <c:v>0.78800000000000003</c:v>
                </c:pt>
                <c:pt idx="791">
                  <c:v>0.78900000000000003</c:v>
                </c:pt>
                <c:pt idx="792">
                  <c:v>0.79</c:v>
                </c:pt>
                <c:pt idx="793">
                  <c:v>0.79100000000000004</c:v>
                </c:pt>
                <c:pt idx="794">
                  <c:v>0.79200000000000004</c:v>
                </c:pt>
                <c:pt idx="795">
                  <c:v>0.79300000000000004</c:v>
                </c:pt>
                <c:pt idx="796">
                  <c:v>0.79400000000000004</c:v>
                </c:pt>
                <c:pt idx="797">
                  <c:v>0.79500000000000004</c:v>
                </c:pt>
                <c:pt idx="798">
                  <c:v>0.79600000000000004</c:v>
                </c:pt>
                <c:pt idx="799">
                  <c:v>0.79700000000000004</c:v>
                </c:pt>
                <c:pt idx="800">
                  <c:v>0.79800000000000004</c:v>
                </c:pt>
                <c:pt idx="801">
                  <c:v>0.79900000000000004</c:v>
                </c:pt>
                <c:pt idx="802">
                  <c:v>0.8</c:v>
                </c:pt>
                <c:pt idx="803">
                  <c:v>0.80100000000000005</c:v>
                </c:pt>
                <c:pt idx="804">
                  <c:v>0.80200000000000005</c:v>
                </c:pt>
                <c:pt idx="805">
                  <c:v>0.80300000000000005</c:v>
                </c:pt>
                <c:pt idx="806">
                  <c:v>0.80400000000000005</c:v>
                </c:pt>
                <c:pt idx="807">
                  <c:v>0.80500000000000005</c:v>
                </c:pt>
                <c:pt idx="808">
                  <c:v>0.80600000000000005</c:v>
                </c:pt>
                <c:pt idx="809">
                  <c:v>0.80700000000000005</c:v>
                </c:pt>
                <c:pt idx="810">
                  <c:v>0.80800000000000005</c:v>
                </c:pt>
                <c:pt idx="811">
                  <c:v>0.80900000000000005</c:v>
                </c:pt>
                <c:pt idx="812">
                  <c:v>0.81</c:v>
                </c:pt>
                <c:pt idx="813">
                  <c:v>0.81100000000000005</c:v>
                </c:pt>
                <c:pt idx="814">
                  <c:v>0.81200000000000006</c:v>
                </c:pt>
                <c:pt idx="815">
                  <c:v>0.81299999999999994</c:v>
                </c:pt>
                <c:pt idx="816">
                  <c:v>0.81399999999999995</c:v>
                </c:pt>
                <c:pt idx="817">
                  <c:v>0.81499999999999995</c:v>
                </c:pt>
                <c:pt idx="818">
                  <c:v>0.81599999999999995</c:v>
                </c:pt>
                <c:pt idx="819">
                  <c:v>0.81699999999999995</c:v>
                </c:pt>
                <c:pt idx="820">
                  <c:v>0.81799999999999995</c:v>
                </c:pt>
                <c:pt idx="821">
                  <c:v>0.81899999999999995</c:v>
                </c:pt>
                <c:pt idx="822">
                  <c:v>0.82</c:v>
                </c:pt>
                <c:pt idx="823">
                  <c:v>0.82099999999999995</c:v>
                </c:pt>
                <c:pt idx="824">
                  <c:v>0.82199999999999995</c:v>
                </c:pt>
                <c:pt idx="825">
                  <c:v>0.82299999999999995</c:v>
                </c:pt>
                <c:pt idx="826">
                  <c:v>0.82399999999999995</c:v>
                </c:pt>
                <c:pt idx="827">
                  <c:v>0.82499999999999996</c:v>
                </c:pt>
                <c:pt idx="828">
                  <c:v>0.82599999999999996</c:v>
                </c:pt>
                <c:pt idx="829">
                  <c:v>0.82699999999999996</c:v>
                </c:pt>
                <c:pt idx="830">
                  <c:v>0.82799999999999996</c:v>
                </c:pt>
                <c:pt idx="831">
                  <c:v>0.82899999999999996</c:v>
                </c:pt>
                <c:pt idx="832">
                  <c:v>0.83</c:v>
                </c:pt>
                <c:pt idx="833">
                  <c:v>0.83099999999999996</c:v>
                </c:pt>
                <c:pt idx="834">
                  <c:v>0.83199999999999996</c:v>
                </c:pt>
                <c:pt idx="835">
                  <c:v>0.83299999999999996</c:v>
                </c:pt>
                <c:pt idx="836">
                  <c:v>0.83399999999999996</c:v>
                </c:pt>
                <c:pt idx="837">
                  <c:v>0.83499999999999996</c:v>
                </c:pt>
                <c:pt idx="838">
                  <c:v>0.83599999999999997</c:v>
                </c:pt>
                <c:pt idx="839">
                  <c:v>0.83699999999999997</c:v>
                </c:pt>
                <c:pt idx="840">
                  <c:v>0.83799999999999997</c:v>
                </c:pt>
                <c:pt idx="841">
                  <c:v>0.83899999999999997</c:v>
                </c:pt>
                <c:pt idx="842">
                  <c:v>0.84</c:v>
                </c:pt>
                <c:pt idx="843">
                  <c:v>0.84099999999999997</c:v>
                </c:pt>
                <c:pt idx="844">
                  <c:v>0.84199999999999997</c:v>
                </c:pt>
                <c:pt idx="845">
                  <c:v>0.84299999999999997</c:v>
                </c:pt>
                <c:pt idx="846">
                  <c:v>0.84399999999999997</c:v>
                </c:pt>
                <c:pt idx="847">
                  <c:v>0.84499999999999997</c:v>
                </c:pt>
                <c:pt idx="848">
                  <c:v>0.84599999999999997</c:v>
                </c:pt>
                <c:pt idx="849">
                  <c:v>0.84699999999999998</c:v>
                </c:pt>
                <c:pt idx="850">
                  <c:v>0.84799999999999998</c:v>
                </c:pt>
                <c:pt idx="851">
                  <c:v>0.84899999999999998</c:v>
                </c:pt>
                <c:pt idx="852">
                  <c:v>0.85</c:v>
                </c:pt>
                <c:pt idx="853">
                  <c:v>0.85099999999999998</c:v>
                </c:pt>
                <c:pt idx="854">
                  <c:v>0.85199999999999998</c:v>
                </c:pt>
                <c:pt idx="855">
                  <c:v>0.85299999999999998</c:v>
                </c:pt>
                <c:pt idx="856">
                  <c:v>0.85399999999999998</c:v>
                </c:pt>
                <c:pt idx="857">
                  <c:v>0.85499999999999998</c:v>
                </c:pt>
                <c:pt idx="858">
                  <c:v>0.85599999999999998</c:v>
                </c:pt>
                <c:pt idx="859">
                  <c:v>0.85699999999999998</c:v>
                </c:pt>
                <c:pt idx="860">
                  <c:v>0.85799999999999998</c:v>
                </c:pt>
                <c:pt idx="861">
                  <c:v>0.85899999999999999</c:v>
                </c:pt>
                <c:pt idx="862">
                  <c:v>0.86</c:v>
                </c:pt>
                <c:pt idx="863">
                  <c:v>0.86099999999999999</c:v>
                </c:pt>
                <c:pt idx="864">
                  <c:v>0.86199999999999999</c:v>
                </c:pt>
                <c:pt idx="865">
                  <c:v>0.86299999999999999</c:v>
                </c:pt>
                <c:pt idx="866">
                  <c:v>0.86399999999999999</c:v>
                </c:pt>
                <c:pt idx="867">
                  <c:v>0.86499999999999999</c:v>
                </c:pt>
                <c:pt idx="868">
                  <c:v>0.86599999999999999</c:v>
                </c:pt>
                <c:pt idx="869">
                  <c:v>0.86699999999999999</c:v>
                </c:pt>
                <c:pt idx="870">
                  <c:v>0.86799999999999999</c:v>
                </c:pt>
                <c:pt idx="871">
                  <c:v>0.86899999999999999</c:v>
                </c:pt>
                <c:pt idx="872">
                  <c:v>0.87</c:v>
                </c:pt>
                <c:pt idx="873">
                  <c:v>0.871</c:v>
                </c:pt>
                <c:pt idx="874">
                  <c:v>0.872</c:v>
                </c:pt>
                <c:pt idx="875">
                  <c:v>0.873</c:v>
                </c:pt>
                <c:pt idx="876">
                  <c:v>0.874</c:v>
                </c:pt>
                <c:pt idx="877">
                  <c:v>0.875</c:v>
                </c:pt>
                <c:pt idx="878">
                  <c:v>0.876</c:v>
                </c:pt>
                <c:pt idx="879">
                  <c:v>0.877</c:v>
                </c:pt>
                <c:pt idx="880">
                  <c:v>0.878</c:v>
                </c:pt>
                <c:pt idx="881">
                  <c:v>0.879</c:v>
                </c:pt>
                <c:pt idx="882">
                  <c:v>0.88</c:v>
                </c:pt>
                <c:pt idx="883">
                  <c:v>0.88100000000000001</c:v>
                </c:pt>
                <c:pt idx="884">
                  <c:v>0.88200000000000001</c:v>
                </c:pt>
                <c:pt idx="885">
                  <c:v>0.88300000000000001</c:v>
                </c:pt>
                <c:pt idx="886">
                  <c:v>0.88400000000000001</c:v>
                </c:pt>
                <c:pt idx="887">
                  <c:v>0.88500000000000001</c:v>
                </c:pt>
                <c:pt idx="888">
                  <c:v>0.88600000000000001</c:v>
                </c:pt>
                <c:pt idx="889">
                  <c:v>0.88700000000000001</c:v>
                </c:pt>
                <c:pt idx="890">
                  <c:v>0.88800000000000001</c:v>
                </c:pt>
                <c:pt idx="891">
                  <c:v>0.88900000000000001</c:v>
                </c:pt>
                <c:pt idx="892">
                  <c:v>0.89</c:v>
                </c:pt>
                <c:pt idx="893">
                  <c:v>0.89100000000000001</c:v>
                </c:pt>
                <c:pt idx="894">
                  <c:v>0.89200000000000002</c:v>
                </c:pt>
                <c:pt idx="895">
                  <c:v>0.89300000000000002</c:v>
                </c:pt>
                <c:pt idx="896">
                  <c:v>0.89400000000000002</c:v>
                </c:pt>
                <c:pt idx="897">
                  <c:v>0.89500000000000002</c:v>
                </c:pt>
                <c:pt idx="898">
                  <c:v>0.89600000000000002</c:v>
                </c:pt>
                <c:pt idx="899">
                  <c:v>0.89700000000000002</c:v>
                </c:pt>
                <c:pt idx="900">
                  <c:v>0.89800000000000002</c:v>
                </c:pt>
                <c:pt idx="901">
                  <c:v>0.89900000000000002</c:v>
                </c:pt>
                <c:pt idx="902">
                  <c:v>0.9</c:v>
                </c:pt>
                <c:pt idx="903">
                  <c:v>0.90100000000000002</c:v>
                </c:pt>
                <c:pt idx="904">
                  <c:v>0.90200000000000002</c:v>
                </c:pt>
                <c:pt idx="905">
                  <c:v>0.90300000000000002</c:v>
                </c:pt>
                <c:pt idx="906">
                  <c:v>0.90400000000000003</c:v>
                </c:pt>
                <c:pt idx="907">
                  <c:v>0.90500000000000003</c:v>
                </c:pt>
                <c:pt idx="908">
                  <c:v>0.90600000000000003</c:v>
                </c:pt>
                <c:pt idx="909">
                  <c:v>0.90700000000000003</c:v>
                </c:pt>
                <c:pt idx="910">
                  <c:v>0.90800000000000003</c:v>
                </c:pt>
                <c:pt idx="911">
                  <c:v>0.90900000000000003</c:v>
                </c:pt>
                <c:pt idx="912">
                  <c:v>0.91</c:v>
                </c:pt>
                <c:pt idx="913">
                  <c:v>0.91100000000000003</c:v>
                </c:pt>
                <c:pt idx="914">
                  <c:v>0.91200000000000003</c:v>
                </c:pt>
                <c:pt idx="915">
                  <c:v>0.91300000000000003</c:v>
                </c:pt>
                <c:pt idx="916">
                  <c:v>0.91400000000000003</c:v>
                </c:pt>
                <c:pt idx="917">
                  <c:v>0.91500000000000004</c:v>
                </c:pt>
                <c:pt idx="918">
                  <c:v>0.91600000000000004</c:v>
                </c:pt>
                <c:pt idx="919">
                  <c:v>0.91700000000000004</c:v>
                </c:pt>
                <c:pt idx="920">
                  <c:v>0.91800000000000004</c:v>
                </c:pt>
                <c:pt idx="921">
                  <c:v>0.91900000000000004</c:v>
                </c:pt>
                <c:pt idx="922">
                  <c:v>0.92</c:v>
                </c:pt>
                <c:pt idx="923">
                  <c:v>0.92100000000000004</c:v>
                </c:pt>
                <c:pt idx="924">
                  <c:v>0.92200000000000004</c:v>
                </c:pt>
                <c:pt idx="925">
                  <c:v>0.92300000000000004</c:v>
                </c:pt>
                <c:pt idx="926">
                  <c:v>0.92400000000000004</c:v>
                </c:pt>
                <c:pt idx="927">
                  <c:v>0.92500000000000004</c:v>
                </c:pt>
                <c:pt idx="928">
                  <c:v>0.92600000000000005</c:v>
                </c:pt>
                <c:pt idx="929">
                  <c:v>0.92700000000000005</c:v>
                </c:pt>
                <c:pt idx="930">
                  <c:v>0.92800000000000005</c:v>
                </c:pt>
                <c:pt idx="931">
                  <c:v>0.92900000000000005</c:v>
                </c:pt>
                <c:pt idx="932">
                  <c:v>0.93</c:v>
                </c:pt>
                <c:pt idx="933">
                  <c:v>0.93100000000000005</c:v>
                </c:pt>
                <c:pt idx="934">
                  <c:v>0.93200000000000005</c:v>
                </c:pt>
                <c:pt idx="935">
                  <c:v>0.93300000000000005</c:v>
                </c:pt>
                <c:pt idx="936">
                  <c:v>0.93400000000000005</c:v>
                </c:pt>
                <c:pt idx="937">
                  <c:v>0.93500000000000005</c:v>
                </c:pt>
                <c:pt idx="938">
                  <c:v>0.93600000000000005</c:v>
                </c:pt>
                <c:pt idx="939">
                  <c:v>0.93700000000000006</c:v>
                </c:pt>
                <c:pt idx="940">
                  <c:v>0.93799999999999994</c:v>
                </c:pt>
                <c:pt idx="941">
                  <c:v>0.93899999999999995</c:v>
                </c:pt>
                <c:pt idx="942">
                  <c:v>0.94</c:v>
                </c:pt>
                <c:pt idx="943">
                  <c:v>0.94099999999999995</c:v>
                </c:pt>
                <c:pt idx="944">
                  <c:v>0.94199999999999995</c:v>
                </c:pt>
                <c:pt idx="945">
                  <c:v>0.94299999999999995</c:v>
                </c:pt>
                <c:pt idx="946">
                  <c:v>0.94399999999999995</c:v>
                </c:pt>
                <c:pt idx="947">
                  <c:v>0.94499999999999995</c:v>
                </c:pt>
                <c:pt idx="948">
                  <c:v>0.94599999999999995</c:v>
                </c:pt>
                <c:pt idx="949">
                  <c:v>0.94699999999999995</c:v>
                </c:pt>
                <c:pt idx="950">
                  <c:v>0.94799999999999995</c:v>
                </c:pt>
                <c:pt idx="951">
                  <c:v>0.94899999999999995</c:v>
                </c:pt>
                <c:pt idx="952">
                  <c:v>0.95</c:v>
                </c:pt>
                <c:pt idx="953">
                  <c:v>0.95099999999999996</c:v>
                </c:pt>
                <c:pt idx="954">
                  <c:v>0.95199999999999996</c:v>
                </c:pt>
                <c:pt idx="955">
                  <c:v>0.95299999999999996</c:v>
                </c:pt>
                <c:pt idx="956">
                  <c:v>0.95399999999999996</c:v>
                </c:pt>
                <c:pt idx="957">
                  <c:v>0.95499999999999996</c:v>
                </c:pt>
                <c:pt idx="958">
                  <c:v>0.95599999999999996</c:v>
                </c:pt>
                <c:pt idx="959">
                  <c:v>0.95699999999999996</c:v>
                </c:pt>
                <c:pt idx="960">
                  <c:v>0.95799999999999996</c:v>
                </c:pt>
                <c:pt idx="961">
                  <c:v>0.95899999999999996</c:v>
                </c:pt>
                <c:pt idx="962">
                  <c:v>0.96</c:v>
                </c:pt>
                <c:pt idx="963">
                  <c:v>0.96099999999999997</c:v>
                </c:pt>
                <c:pt idx="964">
                  <c:v>0.96199999999999997</c:v>
                </c:pt>
                <c:pt idx="965">
                  <c:v>0.96299999999999997</c:v>
                </c:pt>
                <c:pt idx="966">
                  <c:v>0.96399999999999997</c:v>
                </c:pt>
                <c:pt idx="967">
                  <c:v>0.96499999999999997</c:v>
                </c:pt>
                <c:pt idx="968">
                  <c:v>0.96599999999999997</c:v>
                </c:pt>
                <c:pt idx="969">
                  <c:v>0.96699999999999997</c:v>
                </c:pt>
                <c:pt idx="970">
                  <c:v>0.96799999999999997</c:v>
                </c:pt>
                <c:pt idx="971">
                  <c:v>0.96899999999999997</c:v>
                </c:pt>
                <c:pt idx="972">
                  <c:v>0.97</c:v>
                </c:pt>
                <c:pt idx="973">
                  <c:v>0.97099999999999997</c:v>
                </c:pt>
                <c:pt idx="974">
                  <c:v>0.97199999999999998</c:v>
                </c:pt>
                <c:pt idx="975">
                  <c:v>0.97299999999999998</c:v>
                </c:pt>
                <c:pt idx="976">
                  <c:v>0.97399999999999998</c:v>
                </c:pt>
                <c:pt idx="977">
                  <c:v>0.97499999999999998</c:v>
                </c:pt>
                <c:pt idx="978">
                  <c:v>0.97599999999999998</c:v>
                </c:pt>
                <c:pt idx="979">
                  <c:v>0.97699999999999998</c:v>
                </c:pt>
                <c:pt idx="980">
                  <c:v>0.97799999999999998</c:v>
                </c:pt>
                <c:pt idx="981">
                  <c:v>0.97899999999999998</c:v>
                </c:pt>
                <c:pt idx="982">
                  <c:v>0.98</c:v>
                </c:pt>
                <c:pt idx="983">
                  <c:v>0.98099999999999998</c:v>
                </c:pt>
                <c:pt idx="984">
                  <c:v>0.98199999999999998</c:v>
                </c:pt>
                <c:pt idx="985">
                  <c:v>0.98299999999999998</c:v>
                </c:pt>
                <c:pt idx="986">
                  <c:v>0.98399999999999999</c:v>
                </c:pt>
                <c:pt idx="987">
                  <c:v>0.98499999999999999</c:v>
                </c:pt>
                <c:pt idx="988">
                  <c:v>0.98599999999999999</c:v>
                </c:pt>
                <c:pt idx="989">
                  <c:v>0.98699999999999999</c:v>
                </c:pt>
                <c:pt idx="990">
                  <c:v>0.98799999999999999</c:v>
                </c:pt>
                <c:pt idx="991">
                  <c:v>0.98899999999999999</c:v>
                </c:pt>
                <c:pt idx="992">
                  <c:v>0.99</c:v>
                </c:pt>
                <c:pt idx="993">
                  <c:v>0.99099999999999999</c:v>
                </c:pt>
                <c:pt idx="994">
                  <c:v>0.99199999999999999</c:v>
                </c:pt>
                <c:pt idx="995">
                  <c:v>0.99299999999999999</c:v>
                </c:pt>
                <c:pt idx="996">
                  <c:v>0.99399999999999999</c:v>
                </c:pt>
                <c:pt idx="997">
                  <c:v>0.995</c:v>
                </c:pt>
                <c:pt idx="998">
                  <c:v>0.996</c:v>
                </c:pt>
                <c:pt idx="999">
                  <c:v>0.997</c:v>
                </c:pt>
                <c:pt idx="1000">
                  <c:v>0.998</c:v>
                </c:pt>
              </c:numCache>
            </c:numRef>
          </c:cat>
          <c:val>
            <c:numRef>
              <c:f>'Lab2'!$H$38:$H$1038</c:f>
              <c:numCache>
                <c:formatCode>General</c:formatCode>
                <c:ptCount val="1001"/>
                <c:pt idx="2">
                  <c:v>1035</c:v>
                </c:pt>
                <c:pt idx="3">
                  <c:v>1018.977688891675</c:v>
                </c:pt>
                <c:pt idx="4">
                  <c:v>1003.3333155219981</c:v>
                </c:pt>
                <c:pt idx="5">
                  <c:v>988.05599368441483</c:v>
                </c:pt>
                <c:pt idx="6">
                  <c:v>973.135191900824</c:v>
                </c:pt>
                <c:pt idx="7">
                  <c:v>958.56072081162256</c:v>
                </c:pt>
                <c:pt idx="8">
                  <c:v>944.32272104489527</c:v>
                </c:pt>
                <c:pt idx="9">
                  <c:v>930.41165154561259</c:v>
                </c:pt>
                <c:pt idx="10">
                  <c:v>916.81827834632702</c:v>
                </c:pt>
                <c:pt idx="11">
                  <c:v>903.53366376183351</c:v>
                </c:pt>
                <c:pt idx="12">
                  <c:v>890.54915599078095</c:v>
                </c:pt>
                <c:pt idx="13">
                  <c:v>877.85637910813659</c:v>
                </c:pt>
                <c:pt idx="14">
                  <c:v>865.44722343288947</c:v>
                </c:pt>
                <c:pt idx="15">
                  <c:v>853.31383625620037</c:v>
                </c:pt>
                <c:pt idx="16">
                  <c:v>841.44861291565894</c:v>
                </c:pt>
                <c:pt idx="17">
                  <c:v>829.84418820205485</c:v>
                </c:pt>
                <c:pt idx="18">
                  <c:v>818.49342808549238</c:v>
                </c:pt>
                <c:pt idx="19">
                  <c:v>807.38942174835358</c:v>
                </c:pt>
                <c:pt idx="20">
                  <c:v>796.52547391299595</c:v>
                </c:pt>
                <c:pt idx="21">
                  <c:v>785.89509745271675</c:v>
                </c:pt>
                <c:pt idx="22">
                  <c:v>775.49200627482708</c:v>
                </c:pt>
                <c:pt idx="23">
                  <c:v>765.31010846530387</c:v>
                </c:pt>
                <c:pt idx="24">
                  <c:v>755.34349968474805</c:v>
                </c:pt>
                <c:pt idx="25">
                  <c:v>745.58645680596885</c:v>
                </c:pt>
                <c:pt idx="26">
                  <c:v>736.03343178374109</c:v>
                </c:pt>
                <c:pt idx="27">
                  <c:v>726.67904574782744</c:v>
                </c:pt>
                <c:pt idx="28">
                  <c:v>717.51808331056907</c:v>
                </c:pt>
                <c:pt idx="29">
                  <c:v>708.54548708084087</c:v>
                </c:pt>
                <c:pt idx="30">
                  <c:v>699.75635237637346</c:v>
                </c:pt>
                <c:pt idx="31">
                  <c:v>691.14592212687489</c:v>
                </c:pt>
                <c:pt idx="32">
                  <c:v>682.70958196060326</c:v>
                </c:pt>
                <c:pt idx="33">
                  <c:v>674.4428554674123</c:v>
                </c:pt>
                <c:pt idx="34">
                  <c:v>666.34139963149573</c:v>
                </c:pt>
                <c:pt idx="35">
                  <c:v>658.40100042741858</c:v>
                </c:pt>
                <c:pt idx="36">
                  <c:v>650.617568573168</c:v>
                </c:pt>
                <c:pt idx="37">
                  <c:v>642.98713543434349</c:v>
                </c:pt>
                <c:pt idx="38">
                  <c:v>635.50584907369011</c:v>
                </c:pt>
                <c:pt idx="39">
                  <c:v>628.16997044055563</c:v>
                </c:pt>
                <c:pt idx="40">
                  <c:v>620.97586969493625</c:v>
                </c:pt>
                <c:pt idx="41">
                  <c:v>613.92002266110899</c:v>
                </c:pt>
                <c:pt idx="42">
                  <c:v>606.99900740592534</c:v>
                </c:pt>
                <c:pt idx="43">
                  <c:v>600.20950093716147</c:v>
                </c:pt>
                <c:pt idx="44">
                  <c:v>593.54827601737782</c:v>
                </c:pt>
                <c:pt idx="45">
                  <c:v>587.01219808902874</c:v>
                </c:pt>
                <c:pt idx="46">
                  <c:v>580.59822230664588</c:v>
                </c:pt>
                <c:pt idx="47">
                  <c:v>574.30339067214607</c:v>
                </c:pt>
                <c:pt idx="48">
                  <c:v>568.12482926941698</c:v>
                </c:pt>
                <c:pt idx="49">
                  <c:v>562.05974559453819</c:v>
                </c:pt>
                <c:pt idx="50">
                  <c:v>556.10542597806591</c:v>
                </c:pt>
                <c:pt idx="51">
                  <c:v>550.25923309605002</c:v>
                </c:pt>
                <c:pt idx="52">
                  <c:v>544.51860356645284</c:v>
                </c:pt>
                <c:pt idx="53">
                  <c:v>538.88104562790807</c:v>
                </c:pt>
                <c:pt idx="54">
                  <c:v>533.34413689774044</c:v>
                </c:pt>
                <c:pt idx="55">
                  <c:v>527.90552220641678</c:v>
                </c:pt>
                <c:pt idx="56">
                  <c:v>522.562911505579</c:v>
                </c:pt>
                <c:pt idx="57">
                  <c:v>517.31407784704345</c:v>
                </c:pt>
                <c:pt idx="58">
                  <c:v>512.15685543014331</c:v>
                </c:pt>
                <c:pt idx="59">
                  <c:v>507.08913771497612</c:v>
                </c:pt>
                <c:pt idx="60">
                  <c:v>502.10887559914534</c:v>
                </c:pt>
                <c:pt idx="61">
                  <c:v>497.21407565573833</c:v>
                </c:pt>
                <c:pt idx="62">
                  <c:v>492.4027984303051</c:v>
                </c:pt>
                <c:pt idx="63">
                  <c:v>487.67315679475308</c:v>
                </c:pt>
                <c:pt idx="64">
                  <c:v>483.02331435608716</c:v>
                </c:pt>
                <c:pt idx="65">
                  <c:v>478.45148391806794</c:v>
                </c:pt>
                <c:pt idx="66">
                  <c:v>473.95592599386816</c:v>
                </c:pt>
                <c:pt idx="67">
                  <c:v>469.53494736794545</c:v>
                </c:pt>
                <c:pt idx="68">
                  <c:v>465.18689970535286</c:v>
                </c:pt>
                <c:pt idx="69">
                  <c:v>460.91017820683425</c:v>
                </c:pt>
                <c:pt idx="70">
                  <c:v>456.70322030806585</c:v>
                </c:pt>
                <c:pt idx="71">
                  <c:v>452.56450442149958</c:v>
                </c:pt>
                <c:pt idx="72">
                  <c:v>448.49254871930026</c:v>
                </c:pt>
                <c:pt idx="73">
                  <c:v>444.48590995594463</c:v>
                </c:pt>
                <c:pt idx="74">
                  <c:v>440.54318232907542</c:v>
                </c:pt>
                <c:pt idx="75">
                  <c:v>436.66299637729747</c:v>
                </c:pt>
                <c:pt idx="76">
                  <c:v>432.8440179135971</c:v>
                </c:pt>
                <c:pt idx="77">
                  <c:v>429.08494699317919</c:v>
                </c:pt>
                <c:pt idx="78">
                  <c:v>425.38451691449268</c:v>
                </c:pt>
                <c:pt idx="79">
                  <c:v>421.74149325232293</c:v>
                </c:pt>
                <c:pt idx="80">
                  <c:v>418.15467292182245</c:v>
                </c:pt>
                <c:pt idx="81">
                  <c:v>414.62288327242771</c:v>
                </c:pt>
                <c:pt idx="82">
                  <c:v>411.1449812106186</c:v>
                </c:pt>
                <c:pt idx="83">
                  <c:v>407.71985235054768</c:v>
                </c:pt>
                <c:pt idx="84">
                  <c:v>404.34641019156345</c:v>
                </c:pt>
                <c:pt idx="85">
                  <c:v>401.02359532173256</c:v>
                </c:pt>
                <c:pt idx="86">
                  <c:v>397.75037464644851</c:v>
                </c:pt>
                <c:pt idx="87">
                  <c:v>394.52574064129908</c:v>
                </c:pt>
                <c:pt idx="88">
                  <c:v>391.34871062834236</c:v>
                </c:pt>
                <c:pt idx="89">
                  <c:v>388.21832607502517</c:v>
                </c:pt>
                <c:pt idx="90">
                  <c:v>385.13365191495325</c:v>
                </c:pt>
                <c:pt idx="91">
                  <c:v>382.09377588980038</c:v>
                </c:pt>
                <c:pt idx="92">
                  <c:v>379.09780791162177</c:v>
                </c:pt>
                <c:pt idx="93">
                  <c:v>376.14487944490924</c:v>
                </c:pt>
                <c:pt idx="94">
                  <c:v>373.23414290770717</c:v>
                </c:pt>
                <c:pt idx="95">
                  <c:v>370.36477109116908</c:v>
                </c:pt>
                <c:pt idx="96">
                  <c:v>367.53595659692627</c:v>
                </c:pt>
                <c:pt idx="97">
                  <c:v>364.74691129168838</c:v>
                </c:pt>
                <c:pt idx="98">
                  <c:v>361.99686577849133</c:v>
                </c:pt>
                <c:pt idx="99">
                  <c:v>359.2850688840561</c:v>
                </c:pt>
                <c:pt idx="100">
                  <c:v>356.61078716171056</c:v>
                </c:pt>
                <c:pt idx="101">
                  <c:v>353.97330440937696</c:v>
                </c:pt>
                <c:pt idx="102">
                  <c:v>351.37192120211472</c:v>
                </c:pt>
                <c:pt idx="103">
                  <c:v>348.80595443875654</c:v>
                </c:pt>
                <c:pt idx="104">
                  <c:v>346.27473690216158</c:v>
                </c:pt>
                <c:pt idx="105">
                  <c:v>343.77761683265447</c:v>
                </c:pt>
                <c:pt idx="106">
                  <c:v>341.31395751420843</c:v>
                </c:pt>
                <c:pt idx="107">
                  <c:v>338.88313687297148</c:v>
                </c:pt>
                <c:pt idx="108">
                  <c:v>336.48454708772249</c:v>
                </c:pt>
                <c:pt idx="109">
                  <c:v>334.11759421188304</c:v>
                </c:pt>
                <c:pt idx="110">
                  <c:v>331.78169780670083</c:v>
                </c:pt>
                <c:pt idx="111">
                  <c:v>329.47629058525661</c:v>
                </c:pt>
                <c:pt idx="112">
                  <c:v>327.20081806693725</c:v>
                </c:pt>
                <c:pt idx="113">
                  <c:v>324.95473824204714</c:v>
                </c:pt>
                <c:pt idx="114">
                  <c:v>322.7375212462253</c:v>
                </c:pt>
                <c:pt idx="115">
                  <c:v>320.54864904436943</c:v>
                </c:pt>
                <c:pt idx="116">
                  <c:v>318.38761512374487</c:v>
                </c:pt>
                <c:pt idx="117">
                  <c:v>316.25392419600939</c:v>
                </c:pt>
                <c:pt idx="118">
                  <c:v>314.14709190784879</c:v>
                </c:pt>
                <c:pt idx="119">
                  <c:v>312.06664455997441</c:v>
                </c:pt>
                <c:pt idx="120">
                  <c:v>310.01211883419523</c:v>
                </c:pt>
                <c:pt idx="121">
                  <c:v>307.98306152833425</c:v>
                </c:pt>
                <c:pt idx="122">
                  <c:v>305.97902929872339</c:v>
                </c:pt>
                <c:pt idx="123">
                  <c:v>303.99958841005423</c:v>
                </c:pt>
                <c:pt idx="124">
                  <c:v>302.04431449234318</c:v>
                </c:pt>
                <c:pt idx="125">
                  <c:v>300.11279230480028</c:v>
                </c:pt>
                <c:pt idx="126">
                  <c:v>298.20461550638277</c:v>
                </c:pt>
                <c:pt idx="127">
                  <c:v>296.31938643282234</c:v>
                </c:pt>
                <c:pt idx="128">
                  <c:v>294.45671587993138</c:v>
                </c:pt>
                <c:pt idx="129">
                  <c:v>292.61622289299311</c:v>
                </c:pt>
                <c:pt idx="130">
                  <c:v>290.7975345620502</c:v>
                </c:pt>
                <c:pt idx="131">
                  <c:v>289.00028582290577</c:v>
                </c:pt>
                <c:pt idx="132">
                  <c:v>287.22411926366544</c:v>
                </c:pt>
                <c:pt idx="133">
                  <c:v>285.4686849366538</c:v>
                </c:pt>
                <c:pt idx="134">
                  <c:v>283.73364017553621</c:v>
                </c:pt>
                <c:pt idx="135">
                  <c:v>282.01864941749136</c:v>
                </c:pt>
                <c:pt idx="136">
                  <c:v>280.32338403027927</c:v>
                </c:pt>
                <c:pt idx="137">
                  <c:v>278.64752214405866</c:v>
                </c:pt>
                <c:pt idx="138">
                  <c:v>276.99074848781146</c:v>
                </c:pt>
                <c:pt idx="139">
                  <c:v>275.35275423022989</c:v>
                </c:pt>
                <c:pt idx="140">
                  <c:v>273.73323682494009</c:v>
                </c:pt>
                <c:pt idx="141">
                  <c:v>272.13189985992608</c:v>
                </c:pt>
                <c:pt idx="142">
                  <c:v>270.54845291103311</c:v>
                </c:pt>
                <c:pt idx="143">
                  <c:v>268.98261139942696</c:v>
                </c:pt>
                <c:pt idx="144">
                  <c:v>267.43409645288727</c:v>
                </c:pt>
                <c:pt idx="145">
                  <c:v>265.90263477083181</c:v>
                </c:pt>
                <c:pt idx="146">
                  <c:v>264.38795849295184</c:v>
                </c:pt>
                <c:pt idx="147">
                  <c:v>262.88980507135398</c:v>
                </c:pt>
                <c:pt idx="148">
                  <c:v>261.40791714610992</c:v>
                </c:pt>
                <c:pt idx="149">
                  <c:v>259.94204242410711</c:v>
                </c:pt>
                <c:pt idx="150">
                  <c:v>258.49193356111039</c:v>
                </c:pt>
                <c:pt idx="151">
                  <c:v>257.05734804693526</c:v>
                </c:pt>
                <c:pt idx="152">
                  <c:v>255.63804809364703</c:v>
                </c:pt>
                <c:pt idx="153">
                  <c:v>254.23380052669185</c:v>
                </c:pt>
                <c:pt idx="154">
                  <c:v>252.84437667888307</c:v>
                </c:pt>
                <c:pt idx="155">
                  <c:v>251.46955228714953</c:v>
                </c:pt>
                <c:pt idx="156">
                  <c:v>250.10910739197772</c:v>
                </c:pt>
                <c:pt idx="157">
                  <c:v>248.76282623946028</c:v>
                </c:pt>
                <c:pt idx="158">
                  <c:v>247.43049718588327</c:v>
                </c:pt>
                <c:pt idx="159">
                  <c:v>246.11191260477366</c:v>
                </c:pt>
                <c:pt idx="160">
                  <c:v>244.8068687963432</c:v>
                </c:pt>
                <c:pt idx="161">
                  <c:v>243.51516589925319</c:v>
                </c:pt>
                <c:pt idx="162">
                  <c:v>242.23660780464101</c:v>
                </c:pt>
                <c:pt idx="163">
                  <c:v>240.97100207233788</c:v>
                </c:pt>
                <c:pt idx="164">
                  <c:v>239.71815984922335</c:v>
                </c:pt>
                <c:pt idx="165">
                  <c:v>238.47789578964748</c:v>
                </c:pt>
                <c:pt idx="166">
                  <c:v>237.25002797787053</c:v>
                </c:pt>
                <c:pt idx="167">
                  <c:v>236.03437785245757</c:v>
                </c:pt>
                <c:pt idx="168">
                  <c:v>234.830770132579</c:v>
                </c:pt>
                <c:pt idx="169">
                  <c:v>233.63903274615623</c:v>
                </c:pt>
                <c:pt idx="170">
                  <c:v>232.45899675980945</c:v>
                </c:pt>
                <c:pt idx="171">
                  <c:v>231.29049631055079</c:v>
                </c:pt>
                <c:pt idx="172">
                  <c:v>230.13336853917912</c:v>
                </c:pt>
                <c:pt idx="173">
                  <c:v>228.98745352532504</c:v>
                </c:pt>
                <c:pt idx="174">
                  <c:v>227.8525942241059</c:v>
                </c:pt>
                <c:pt idx="175">
                  <c:v>226.72863640434053</c:v>
                </c:pt>
                <c:pt idx="176">
                  <c:v>225.61542858828739</c:v>
                </c:pt>
                <c:pt idx="177">
                  <c:v>224.51282199285711</c:v>
                </c:pt>
                <c:pt idx="178">
                  <c:v>223.42067047226703</c:v>
                </c:pt>
                <c:pt idx="179">
                  <c:v>222.33883046209198</c:v>
                </c:pt>
                <c:pt idx="180">
                  <c:v>221.2671609246766</c:v>
                </c:pt>
                <c:pt idx="181">
                  <c:v>220.20552329587213</c:v>
                </c:pt>
                <c:pt idx="182">
                  <c:v>219.15378143306162</c:v>
                </c:pt>
                <c:pt idx="183">
                  <c:v>218.11180156443658</c:v>
                </c:pt>
                <c:pt idx="184">
                  <c:v>217.07945223949739</c:v>
                </c:pt>
                <c:pt idx="185">
                  <c:v>216.056604280736</c:v>
                </c:pt>
                <c:pt idx="186">
                  <c:v>215.04313073647864</c:v>
                </c:pt>
                <c:pt idx="187">
                  <c:v>214.038906834849</c:v>
                </c:pt>
                <c:pt idx="188">
                  <c:v>213.04380993882944</c:v>
                </c:pt>
                <c:pt idx="189">
                  <c:v>212.05771950238486</c:v>
                </c:pt>
                <c:pt idx="190">
                  <c:v>211.08051702762657</c:v>
                </c:pt>
                <c:pt idx="191">
                  <c:v>210.11208602298342</c:v>
                </c:pt>
                <c:pt idx="192">
                  <c:v>209.15231196235854</c:v>
                </c:pt>
                <c:pt idx="193">
                  <c:v>208.20108224524179</c:v>
                </c:pt>
                <c:pt idx="194">
                  <c:v>207.25828615775686</c:v>
                </c:pt>
                <c:pt idx="195">
                  <c:v>206.32381483461293</c:v>
                </c:pt>
                <c:pt idx="196">
                  <c:v>205.39756122194521</c:v>
                </c:pt>
                <c:pt idx="197">
                  <c:v>204.47942004101139</c:v>
                </c:pt>
                <c:pt idx="198">
                  <c:v>203.56928775273306</c:v>
                </c:pt>
                <c:pt idx="199">
                  <c:v>202.66706252304894</c:v>
                </c:pt>
                <c:pt idx="200">
                  <c:v>201.77264418906867</c:v>
                </c:pt>
                <c:pt idx="201">
                  <c:v>200.88593422599891</c:v>
                </c:pt>
                <c:pt idx="202">
                  <c:v>200.00683571482767</c:v>
                </c:pt>
                <c:pt idx="203">
                  <c:v>199.13525331074342</c:v>
                </c:pt>
                <c:pt idx="204">
                  <c:v>198.2710932122734</c:v>
                </c:pt>
                <c:pt idx="205">
                  <c:v>197.41426313111916</c:v>
                </c:pt>
                <c:pt idx="206">
                  <c:v>196.56467226267574</c:v>
                </c:pt>
                <c:pt idx="207">
                  <c:v>195.72223125721371</c:v>
                </c:pt>
                <c:pt idx="208">
                  <c:v>194.88685219170964</c:v>
                </c:pt>
                <c:pt idx="209">
                  <c:v>194.05844854230634</c:v>
                </c:pt>
                <c:pt idx="210">
                  <c:v>193.23693515739049</c:v>
                </c:pt>
                <c:pt idx="211">
                  <c:v>192.42222823126733</c:v>
                </c:pt>
                <c:pt idx="212">
                  <c:v>191.61424527842362</c:v>
                </c:pt>
                <c:pt idx="213">
                  <c:v>190.81290510835666</c:v>
                </c:pt>
                <c:pt idx="214">
                  <c:v>190.01812780096321</c:v>
                </c:pt>
                <c:pt idx="215">
                  <c:v>189.22983468246798</c:v>
                </c:pt>
                <c:pt idx="216">
                  <c:v>188.44794830188232</c:v>
                </c:pt>
                <c:pt idx="217">
                  <c:v>187.67239240797747</c:v>
                </c:pt>
                <c:pt idx="218">
                  <c:v>186.90309192676213</c:v>
                </c:pt>
                <c:pt idx="219">
                  <c:v>186.13997293944942</c:v>
                </c:pt>
                <c:pt idx="220">
                  <c:v>185.38296266090316</c:v>
                </c:pt>
                <c:pt idx="221">
                  <c:v>184.63198941854989</c:v>
                </c:pt>
                <c:pt idx="222">
                  <c:v>183.88698263174939</c:v>
                </c:pt>
                <c:pt idx="223">
                  <c:v>183.14787279160456</c:v>
                </c:pt>
                <c:pt idx="224">
                  <c:v>182.41459144121075</c:v>
                </c:pt>
                <c:pt idx="225">
                  <c:v>181.68707115632273</c:v>
                </c:pt>
                <c:pt idx="226">
                  <c:v>180.96524552643908</c:v>
                </c:pt>
                <c:pt idx="227">
                  <c:v>180.24904913628615</c:v>
                </c:pt>
                <c:pt idx="228">
                  <c:v>179.53841754769746</c:v>
                </c:pt>
                <c:pt idx="229">
                  <c:v>178.83328728187573</c:v>
                </c:pt>
                <c:pt idx="230">
                  <c:v>178.1335958020307</c:v>
                </c:pt>
                <c:pt idx="231">
                  <c:v>177.43928149638052</c:v>
                </c:pt>
                <c:pt idx="232">
                  <c:v>176.75028366151349</c:v>
                </c:pt>
                <c:pt idx="233">
                  <c:v>176.06654248609493</c:v>
                </c:pt>
                <c:pt idx="234">
                  <c:v>175.38799903491707</c:v>
                </c:pt>
                <c:pt idx="235">
                  <c:v>174.71459523327928</c:v>
                </c:pt>
                <c:pt idx="236">
                  <c:v>174.04627385169374</c:v>
                </c:pt>
                <c:pt idx="237">
                  <c:v>173.38297849090839</c:v>
                </c:pt>
                <c:pt idx="238">
                  <c:v>172.72465356723762</c:v>
                </c:pt>
                <c:pt idx="239">
                  <c:v>172.07124429819672</c:v>
                </c:pt>
                <c:pt idx="240">
                  <c:v>171.42269668843193</c:v>
                </c:pt>
                <c:pt idx="241">
                  <c:v>170.77895751593587</c:v>
                </c:pt>
                <c:pt idx="242">
                  <c:v>170.13997431854762</c:v>
                </c:pt>
                <c:pt idx="243">
                  <c:v>169.50569538072708</c:v>
                </c:pt>
                <c:pt idx="244">
                  <c:v>168.87606972059717</c:v>
                </c:pt>
                <c:pt idx="245">
                  <c:v>168.25104707724907</c:v>
                </c:pt>
                <c:pt idx="246">
                  <c:v>167.6305778983043</c:v>
                </c:pt>
                <c:pt idx="247">
                  <c:v>167.01461332772769</c:v>
                </c:pt>
                <c:pt idx="248">
                  <c:v>166.40310519388453</c:v>
                </c:pt>
                <c:pt idx="249">
                  <c:v>165.79600599783674</c:v>
                </c:pt>
                <c:pt idx="250">
                  <c:v>165.19326890187457</c:v>
                </c:pt>
                <c:pt idx="251">
                  <c:v>164.59484771827553</c:v>
                </c:pt>
                <c:pt idx="252">
                  <c:v>164.00069689828746</c:v>
                </c:pt>
                <c:pt idx="253">
                  <c:v>163.410771521329</c:v>
                </c:pt>
                <c:pt idx="254">
                  <c:v>162.82502728440508</c:v>
                </c:pt>
                <c:pt idx="255">
                  <c:v>162.24342049173006</c:v>
                </c:pt>
                <c:pt idx="256">
                  <c:v>161.66590804455521</c:v>
                </c:pt>
                <c:pt idx="257">
                  <c:v>161.09244743119541</c:v>
                </c:pt>
                <c:pt idx="258">
                  <c:v>160.52299671725135</c:v>
                </c:pt>
                <c:pt idx="259">
                  <c:v>159.95751453602199</c:v>
                </c:pt>
                <c:pt idx="260">
                  <c:v>159.39596007910424</c:v>
                </c:pt>
                <c:pt idx="261">
                  <c:v>158.83829308717355</c:v>
                </c:pt>
                <c:pt idx="262">
                  <c:v>158.28447384094451</c:v>
                </c:pt>
                <c:pt idx="263">
                  <c:v>157.73446315230484</c:v>
                </c:pt>
                <c:pt idx="264">
                  <c:v>157.18822235562044</c:v>
                </c:pt>
                <c:pt idx="265">
                  <c:v>156.64571329920662</c:v>
                </c:pt>
                <c:pt idx="266">
                  <c:v>156.10689833696333</c:v>
                </c:pt>
                <c:pt idx="267">
                  <c:v>155.57174032017011</c:v>
                </c:pt>
                <c:pt idx="268">
                  <c:v>155.04020258943669</c:v>
                </c:pt>
                <c:pt idx="269">
                  <c:v>154.5122489668058</c:v>
                </c:pt>
                <c:pt idx="270">
                  <c:v>153.98784374800732</c:v>
                </c:pt>
                <c:pt idx="271">
                  <c:v>153.4669516948575</c:v>
                </c:pt>
                <c:pt idx="272">
                  <c:v>152.94953802780151</c:v>
                </c:pt>
                <c:pt idx="273">
                  <c:v>152.43556841859521</c:v>
                </c:pt>
                <c:pt idx="274">
                  <c:v>151.9250089831263</c:v>
                </c:pt>
                <c:pt idx="275">
                  <c:v>151.41782627436726</c:v>
                </c:pt>
                <c:pt idx="276">
                  <c:v>150.91398727546073</c:v>
                </c:pt>
                <c:pt idx="277">
                  <c:v>150.41345939293328</c:v>
                </c:pt>
                <c:pt idx="278">
                  <c:v>149.91621045003438</c:v>
                </c:pt>
                <c:pt idx="279">
                  <c:v>149.42220868020013</c:v>
                </c:pt>
                <c:pt idx="280">
                  <c:v>148.9314227206352</c:v>
                </c:pt>
                <c:pt idx="281">
                  <c:v>148.44382160601472</c:v>
                </c:pt>
                <c:pt idx="282">
                  <c:v>147.95937476230011</c:v>
                </c:pt>
                <c:pt idx="283">
                  <c:v>147.4780520006702</c:v>
                </c:pt>
                <c:pt idx="284">
                  <c:v>146.99982351156046</c:v>
                </c:pt>
                <c:pt idx="285">
                  <c:v>146.5246598588125</c:v>
                </c:pt>
                <c:pt idx="286">
                  <c:v>146.05253197392921</c:v>
                </c:pt>
                <c:pt idx="287">
                  <c:v>145.5834111504341</c:v>
                </c:pt>
                <c:pt idx="288">
                  <c:v>145.11726903833164</c:v>
                </c:pt>
                <c:pt idx="289">
                  <c:v>144.65407763866892</c:v>
                </c:pt>
                <c:pt idx="290">
                  <c:v>144.19380929819323</c:v>
                </c:pt>
                <c:pt idx="291">
                  <c:v>143.73643670410658</c:v>
                </c:pt>
                <c:pt idx="292">
                  <c:v>143.28193287891352</c:v>
                </c:pt>
                <c:pt idx="293">
                  <c:v>142.83027117536085</c:v>
                </c:pt>
                <c:pt idx="294">
                  <c:v>142.38142527146692</c:v>
                </c:pt>
                <c:pt idx="295">
                  <c:v>141.93536916563983</c:v>
                </c:pt>
                <c:pt idx="296">
                  <c:v>141.49207717188099</c:v>
                </c:pt>
                <c:pt idx="297">
                  <c:v>141.0515239150742</c:v>
                </c:pt>
                <c:pt idx="298">
                  <c:v>140.61368432635683</c:v>
                </c:pt>
                <c:pt idx="299">
                  <c:v>140.17853363857304</c:v>
                </c:pt>
                <c:pt idx="300">
                  <c:v>139.74604738180551</c:v>
                </c:pt>
                <c:pt idx="301">
                  <c:v>139.31620137898651</c:v>
                </c:pt>
                <c:pt idx="302">
                  <c:v>138.88897174158328</c:v>
                </c:pt>
                <c:pt idx="303">
                  <c:v>138.46433486536208</c:v>
                </c:pt>
                <c:pt idx="304">
                  <c:v>138.04226742622058</c:v>
                </c:pt>
                <c:pt idx="305">
                  <c:v>137.62274637609713</c:v>
                </c:pt>
                <c:pt idx="306">
                  <c:v>137.20574893894701</c:v>
                </c:pt>
                <c:pt idx="307">
                  <c:v>136.79125260678981</c:v>
                </c:pt>
                <c:pt idx="308">
                  <c:v>136.37923513582368</c:v>
                </c:pt>
                <c:pt idx="309">
                  <c:v>135.96967454260704</c:v>
                </c:pt>
                <c:pt idx="310">
                  <c:v>135.56254910030344</c:v>
                </c:pt>
                <c:pt idx="311">
                  <c:v>135.15783733499316</c:v>
                </c:pt>
                <c:pt idx="312">
                  <c:v>134.75551802204475</c:v>
                </c:pt>
                <c:pt idx="313">
                  <c:v>134.35557018254974</c:v>
                </c:pt>
                <c:pt idx="314">
                  <c:v>133.95797307981672</c:v>
                </c:pt>
                <c:pt idx="315">
                  <c:v>133.56270621592498</c:v>
                </c:pt>
                <c:pt idx="316">
                  <c:v>133.16974932833577</c:v>
                </c:pt>
                <c:pt idx="317">
                  <c:v>132.77908238656053</c:v>
                </c:pt>
                <c:pt idx="318">
                  <c:v>132.39068558888425</c:v>
                </c:pt>
                <c:pt idx="319">
                  <c:v>132.00453935914518</c:v>
                </c:pt>
                <c:pt idx="320">
                  <c:v>131.62062434356511</c:v>
                </c:pt>
                <c:pt idx="321">
                  <c:v>131.23892140763607</c:v>
                </c:pt>
                <c:pt idx="322">
                  <c:v>130.85941163305509</c:v>
                </c:pt>
                <c:pt idx="323">
                  <c:v>130.48207631471192</c:v>
                </c:pt>
                <c:pt idx="324">
                  <c:v>130.10689695772504</c:v>
                </c:pt>
                <c:pt idx="325">
                  <c:v>129.73385527452749</c:v>
                </c:pt>
                <c:pt idx="326">
                  <c:v>129.3629331819987</c:v>
                </c:pt>
                <c:pt idx="327">
                  <c:v>128.99411279864631</c:v>
                </c:pt>
                <c:pt idx="328">
                  <c:v>128.62737644183008</c:v>
                </c:pt>
                <c:pt idx="329">
                  <c:v>128.26270662503379</c:v>
                </c:pt>
                <c:pt idx="330">
                  <c:v>127.90008605518076</c:v>
                </c:pt>
                <c:pt idx="331">
                  <c:v>127.53949762999248</c:v>
                </c:pt>
                <c:pt idx="332">
                  <c:v>127.18092443538976</c:v>
                </c:pt>
                <c:pt idx="333">
                  <c:v>126.82434974293675</c:v>
                </c:pt>
                <c:pt idx="334">
                  <c:v>126.46975700732442</c:v>
                </c:pt>
                <c:pt idx="335">
                  <c:v>126.11712986389651</c:v>
                </c:pt>
                <c:pt idx="336">
                  <c:v>125.7664521262129</c:v>
                </c:pt>
                <c:pt idx="337">
                  <c:v>125.41770778365347</c:v>
                </c:pt>
                <c:pt idx="338">
                  <c:v>125.07088099905916</c:v>
                </c:pt>
                <c:pt idx="339">
                  <c:v>124.72595610641125</c:v>
                </c:pt>
                <c:pt idx="340">
                  <c:v>124.38291760854639</c:v>
                </c:pt>
                <c:pt idx="341">
                  <c:v>124.04175017490903</c:v>
                </c:pt>
                <c:pt idx="342">
                  <c:v>123.70243863933818</c:v>
                </c:pt>
                <c:pt idx="343">
                  <c:v>123.36496799788945</c:v>
                </c:pt>
                <c:pt idx="344">
                  <c:v>123.02932340669128</c:v>
                </c:pt>
                <c:pt idx="345">
                  <c:v>122.69549017983499</c:v>
                </c:pt>
                <c:pt idx="346">
                  <c:v>122.36345378729676</c:v>
                </c:pt>
                <c:pt idx="347">
                  <c:v>122.03319985289355</c:v>
                </c:pt>
                <c:pt idx="348">
                  <c:v>121.7047141522691</c:v>
                </c:pt>
                <c:pt idx="349">
                  <c:v>121.37798261091292</c:v>
                </c:pt>
                <c:pt idx="350">
                  <c:v>121.05299130220813</c:v>
                </c:pt>
                <c:pt idx="351">
                  <c:v>120.72972644551071</c:v>
                </c:pt>
                <c:pt idx="352">
                  <c:v>120.40817440425801</c:v>
                </c:pt>
                <c:pt idx="353">
                  <c:v>120.08832168410608</c:v>
                </c:pt>
                <c:pt idx="354">
                  <c:v>119.77015493109566</c:v>
                </c:pt>
                <c:pt idx="355">
                  <c:v>119.45366092984619</c:v>
                </c:pt>
                <c:pt idx="356">
                  <c:v>119.13882660177752</c:v>
                </c:pt>
                <c:pt idx="357">
                  <c:v>118.82563900335863</c:v>
                </c:pt>
                <c:pt idx="358">
                  <c:v>118.51408532438282</c:v>
                </c:pt>
                <c:pt idx="359">
                  <c:v>118.20415288626853</c:v>
                </c:pt>
                <c:pt idx="360">
                  <c:v>117.89582914038745</c:v>
                </c:pt>
                <c:pt idx="361">
                  <c:v>117.58910166641603</c:v>
                </c:pt>
                <c:pt idx="362">
                  <c:v>117.28395817071248</c:v>
                </c:pt>
                <c:pt idx="363">
                  <c:v>116.98038648471838</c:v>
                </c:pt>
                <c:pt idx="364">
                  <c:v>116.67837456338417</c:v>
                </c:pt>
                <c:pt idx="365">
                  <c:v>116.37791048361763</c:v>
                </c:pt>
                <c:pt idx="366">
                  <c:v>116.07898244275606</c:v>
                </c:pt>
                <c:pt idx="367">
                  <c:v>115.78157875706071</c:v>
                </c:pt>
                <c:pt idx="368">
                  <c:v>115.48568786023404</c:v>
                </c:pt>
                <c:pt idx="369">
                  <c:v>115.1912983019588</c:v>
                </c:pt>
                <c:pt idx="370">
                  <c:v>114.89839874645806</c:v>
                </c:pt>
                <c:pt idx="371">
                  <c:v>114.6069779710771</c:v>
                </c:pt>
                <c:pt idx="372">
                  <c:v>114.31702486488636</c:v>
                </c:pt>
                <c:pt idx="373">
                  <c:v>114.02852842730428</c:v>
                </c:pt>
                <c:pt idx="374">
                  <c:v>113.74147776674</c:v>
                </c:pt>
                <c:pt idx="375">
                  <c:v>113.45586209925723</c:v>
                </c:pt>
                <c:pt idx="376">
                  <c:v>113.17167074725627</c:v>
                </c:pt>
                <c:pt idx="377">
                  <c:v>112.88889313817573</c:v>
                </c:pt>
                <c:pt idx="378">
                  <c:v>112.60751880321288</c:v>
                </c:pt>
                <c:pt idx="379">
                  <c:v>112.32753737606259</c:v>
                </c:pt>
                <c:pt idx="380">
                  <c:v>112.04893859167504</c:v>
                </c:pt>
                <c:pt idx="381">
                  <c:v>111.77171228503006</c:v>
                </c:pt>
                <c:pt idx="382">
                  <c:v>111.49584838993022</c:v>
                </c:pt>
                <c:pt idx="383">
                  <c:v>111.22133693781065</c:v>
                </c:pt>
                <c:pt idx="384">
                  <c:v>110.94816805656613</c:v>
                </c:pt>
                <c:pt idx="385">
                  <c:v>110.67633196939498</c:v>
                </c:pt>
                <c:pt idx="386">
                  <c:v>110.40581899365897</c:v>
                </c:pt>
                <c:pt idx="387">
                  <c:v>110.13661953975962</c:v>
                </c:pt>
                <c:pt idx="388">
                  <c:v>109.86872411003134</c:v>
                </c:pt>
                <c:pt idx="389">
                  <c:v>109.60212329764852</c:v>
                </c:pt>
                <c:pt idx="390">
                  <c:v>109.33680778554924</c:v>
                </c:pt>
                <c:pt idx="391">
                  <c:v>109.07276834537426</c:v>
                </c:pt>
                <c:pt idx="392">
                  <c:v>108.80999583642</c:v>
                </c:pt>
                <c:pt idx="393">
                  <c:v>108.54848120460701</c:v>
                </c:pt>
                <c:pt idx="394">
                  <c:v>108.28821548146242</c:v>
                </c:pt>
                <c:pt idx="395">
                  <c:v>108.02918978311672</c:v>
                </c:pt>
                <c:pt idx="396">
                  <c:v>107.77139530931504</c:v>
                </c:pt>
                <c:pt idx="397">
                  <c:v>107.51482334244103</c:v>
                </c:pt>
                <c:pt idx="398">
                  <c:v>107.25946524655515</c:v>
                </c:pt>
                <c:pt idx="399">
                  <c:v>107.0053124664464</c:v>
                </c:pt>
                <c:pt idx="400">
                  <c:v>106.7523565266963</c:v>
                </c:pt>
                <c:pt idx="401">
                  <c:v>106.50058903075674</c:v>
                </c:pt>
                <c:pt idx="402">
                  <c:v>106.25000166003952</c:v>
                </c:pt>
                <c:pt idx="403">
                  <c:v>106.00058617301927</c:v>
                </c:pt>
                <c:pt idx="404">
                  <c:v>105.75233440434825</c:v>
                </c:pt>
                <c:pt idx="405">
                  <c:v>105.50523826398334</c:v>
                </c:pt>
                <c:pt idx="406">
                  <c:v>105.25928973632449</c:v>
                </c:pt>
                <c:pt idx="407">
                  <c:v>105.01448087936548</c:v>
                </c:pt>
                <c:pt idx="408">
                  <c:v>104.77080382385626</c:v>
                </c:pt>
                <c:pt idx="409">
                  <c:v>104.52825077247603</c:v>
                </c:pt>
                <c:pt idx="410">
                  <c:v>104.28681399901794</c:v>
                </c:pt>
                <c:pt idx="411">
                  <c:v>104.04648584758438</c:v>
                </c:pt>
                <c:pt idx="412">
                  <c:v>103.80725873179424</c:v>
                </c:pt>
                <c:pt idx="413">
                  <c:v>103.56912513399885</c:v>
                </c:pt>
                <c:pt idx="414">
                  <c:v>103.33207760451057</c:v>
                </c:pt>
                <c:pt idx="415">
                  <c:v>103.09610876083975</c:v>
                </c:pt>
                <c:pt idx="416">
                  <c:v>102.8612112869438</c:v>
                </c:pt>
                <c:pt idx="417">
                  <c:v>102.62737793248428</c:v>
                </c:pt>
                <c:pt idx="418">
                  <c:v>102.39460151209548</c:v>
                </c:pt>
                <c:pt idx="419">
                  <c:v>102.16287490466185</c:v>
                </c:pt>
                <c:pt idx="420">
                  <c:v>101.93219105260503</c:v>
                </c:pt>
                <c:pt idx="421">
                  <c:v>101.70254296118092</c:v>
                </c:pt>
                <c:pt idx="422">
                  <c:v>101.47392369778505</c:v>
                </c:pt>
                <c:pt idx="423">
                  <c:v>101.24632639126794</c:v>
                </c:pt>
                <c:pt idx="424">
                  <c:v>101.01974423125883</c:v>
                </c:pt>
                <c:pt idx="425">
                  <c:v>100.79417046749872</c:v>
                </c:pt>
                <c:pt idx="426">
                  <c:v>100.56959840918206</c:v>
                </c:pt>
                <c:pt idx="427">
                  <c:v>100.34602142430633</c:v>
                </c:pt>
                <c:pt idx="428">
                  <c:v>100.12343293903128</c:v>
                </c:pt>
                <c:pt idx="429">
                  <c:v>99.901826437045656</c:v>
                </c:pt>
                <c:pt idx="430">
                  <c:v>99.68119545894217</c:v>
                </c:pt>
                <c:pt idx="431">
                  <c:v>99.461533601600848</c:v>
                </c:pt>
                <c:pt idx="432">
                  <c:v>99.242834517580548</c:v>
                </c:pt>
                <c:pt idx="433">
                  <c:v>99.025091914517049</c:v>
                </c:pt>
                <c:pt idx="434">
                  <c:v>98.80829955453089</c:v>
                </c:pt>
                <c:pt idx="435">
                  <c:v>98.592451253641244</c:v>
                </c:pt>
                <c:pt idx="436">
                  <c:v>98.377540881187556</c:v>
                </c:pt>
                <c:pt idx="437">
                  <c:v>98.163562359259089</c:v>
                </c:pt>
                <c:pt idx="438">
                  <c:v>97.950509662131438</c:v>
                </c:pt>
                <c:pt idx="439">
                  <c:v>97.738376815710055</c:v>
                </c:pt>
                <c:pt idx="440">
                  <c:v>97.527157896981279</c:v>
                </c:pt>
                <c:pt idx="441">
                  <c:v>97.3168470334695</c:v>
                </c:pt>
                <c:pt idx="442">
                  <c:v>97.107438402702428</c:v>
                </c:pt>
                <c:pt idx="443">
                  <c:v>96.898926231682069</c:v>
                </c:pt>
                <c:pt idx="444">
                  <c:v>96.69130479636253</c:v>
                </c:pt>
                <c:pt idx="445">
                  <c:v>96.484568421134867</c:v>
                </c:pt>
                <c:pt idx="446">
                  <c:v>96.278711478318215</c:v>
                </c:pt>
                <c:pt idx="447">
                  <c:v>96.073728387656473</c:v>
                </c:pt>
                <c:pt idx="448">
                  <c:v>95.869613615822814</c:v>
                </c:pt>
                <c:pt idx="449">
                  <c:v>95.666361675929309</c:v>
                </c:pt>
                <c:pt idx="450">
                  <c:v>95.463967127042451</c:v>
                </c:pt>
                <c:pt idx="451">
                  <c:v>95.26242457370563</c:v>
                </c:pt>
                <c:pt idx="452">
                  <c:v>95.061728665466788</c:v>
                </c:pt>
                <c:pt idx="453">
                  <c:v>94.861874096412222</c:v>
                </c:pt>
                <c:pt idx="454">
                  <c:v>94.662855604705939</c:v>
                </c:pt>
                <c:pt idx="455">
                  <c:v>94.46466797213516</c:v>
                </c:pt>
                <c:pt idx="456">
                  <c:v>94.267306023660794</c:v>
                </c:pt>
                <c:pt idx="457">
                  <c:v>94.070764626973485</c:v>
                </c:pt>
                <c:pt idx="458">
                  <c:v>93.875038692056137</c:v>
                </c:pt>
                <c:pt idx="459">
                  <c:v>93.680123170750036</c:v>
                </c:pt>
                <c:pt idx="460">
                  <c:v>93.48601305632792</c:v>
                </c:pt>
                <c:pt idx="461">
                  <c:v>93.292703383070986</c:v>
                </c:pt>
                <c:pt idx="462">
                  <c:v>93.100189225852162</c:v>
                </c:pt>
                <c:pt idx="463">
                  <c:v>92.908465699723237</c:v>
                </c:pt>
                <c:pt idx="464">
                  <c:v>92.717527959508104</c:v>
                </c:pt>
                <c:pt idx="465">
                  <c:v>92.52737119940015</c:v>
                </c:pt>
                <c:pt idx="466">
                  <c:v>92.337990652564898</c:v>
                </c:pt>
                <c:pt idx="467">
                  <c:v>92.149381590747296</c:v>
                </c:pt>
                <c:pt idx="468">
                  <c:v>91.961539323883727</c:v>
                </c:pt>
                <c:pt idx="469">
                  <c:v>91.774459199718677</c:v>
                </c:pt>
                <c:pt idx="470">
                  <c:v>91.58813660342598</c:v>
                </c:pt>
                <c:pt idx="471">
                  <c:v>91.402566957234683</c:v>
                </c:pt>
                <c:pt idx="472">
                  <c:v>91.217745720059085</c:v>
                </c:pt>
                <c:pt idx="473">
                  <c:v>91.033668387133758</c:v>
                </c:pt>
                <c:pt idx="474">
                  <c:v>90.850330489652052</c:v>
                </c:pt>
                <c:pt idx="475">
                  <c:v>90.667727594409868</c:v>
                </c:pt>
                <c:pt idx="476">
                  <c:v>90.485855303452652</c:v>
                </c:pt>
                <c:pt idx="477">
                  <c:v>90.304709253727452</c:v>
                </c:pt>
                <c:pt idx="478">
                  <c:v>90.124285116738477</c:v>
                </c:pt>
                <c:pt idx="479">
                  <c:v>89.944578598206789</c:v>
                </c:pt>
                <c:pt idx="480">
                  <c:v>89.765585437734373</c:v>
                </c:pt>
                <c:pt idx="481">
                  <c:v>89.587301408471703</c:v>
                </c:pt>
                <c:pt idx="482">
                  <c:v>89.409722316789356</c:v>
                </c:pt>
                <c:pt idx="483">
                  <c:v>89.232844001953595</c:v>
                </c:pt>
                <c:pt idx="484">
                  <c:v>89.056662335805328</c:v>
                </c:pt>
                <c:pt idx="485">
                  <c:v>88.881173222443465</c:v>
                </c:pt>
                <c:pt idx="486">
                  <c:v>88.706372597911368</c:v>
                </c:pt>
                <c:pt idx="487">
                  <c:v>88.532256429887013</c:v>
                </c:pt>
                <c:pt idx="488">
                  <c:v>88.358820717376986</c:v>
                </c:pt>
                <c:pt idx="489">
                  <c:v>88.18606149041409</c:v>
                </c:pt>
                <c:pt idx="490">
                  <c:v>88.013974809757784</c:v>
                </c:pt>
                <c:pt idx="491">
                  <c:v>87.842556766598861</c:v>
                </c:pt>
                <c:pt idx="492">
                  <c:v>87.671803482266981</c:v>
                </c:pt>
                <c:pt idx="493">
                  <c:v>87.501711107941716</c:v>
                </c:pt>
                <c:pt idx="494">
                  <c:v>87.332275824367386</c:v>
                </c:pt>
                <c:pt idx="495">
                  <c:v>87.163493841569831</c:v>
                </c:pt>
                <c:pt idx="496">
                  <c:v>86.995361398578069</c:v>
                </c:pt>
                <c:pt idx="497">
                  <c:v>86.827874763147918</c:v>
                </c:pt>
                <c:pt idx="498">
                  <c:v>86.661030231489264</c:v>
                </c:pt>
                <c:pt idx="499">
                  <c:v>86.494824127996367</c:v>
                </c:pt>
                <c:pt idx="500">
                  <c:v>86.32925280498074</c:v>
                </c:pt>
                <c:pt idx="501">
                  <c:v>86.164312642408262</c:v>
                </c:pt>
                <c:pt idx="502">
                  <c:v>86.000000047638011</c:v>
                </c:pt>
                <c:pt idx="503">
                  <c:v>85.836311455164051</c:v>
                </c:pt>
                <c:pt idx="504">
                  <c:v>85.673243326361472</c:v>
                </c:pt>
                <c:pt idx="505">
                  <c:v>85.510792149233538</c:v>
                </c:pt>
                <c:pt idx="506">
                  <c:v>85.348954438163233</c:v>
                </c:pt>
                <c:pt idx="507">
                  <c:v>85.187726733665954</c:v>
                </c:pt>
                <c:pt idx="508">
                  <c:v>85.027105602146634</c:v>
                </c:pt>
                <c:pt idx="509">
                  <c:v>84.867087635658436</c:v>
                </c:pt>
                <c:pt idx="510">
                  <c:v>84.707669451664387</c:v>
                </c:pt>
                <c:pt idx="511">
                  <c:v>84.548847692801871</c:v>
                </c:pt>
                <c:pt idx="512">
                  <c:v>84.390619026649603</c:v>
                </c:pt>
                <c:pt idx="513">
                  <c:v>84.232980145497052</c:v>
                </c:pt>
                <c:pt idx="514">
                  <c:v>84.075927766116649</c:v>
                </c:pt>
                <c:pt idx="515">
                  <c:v>83.91945862953834</c:v>
                </c:pt>
                <c:pt idx="516">
                  <c:v>83.763569500826478</c:v>
                </c:pt>
                <c:pt idx="517">
                  <c:v>83.608257168859737</c:v>
                </c:pt>
                <c:pt idx="518">
                  <c:v>83.453518446112625</c:v>
                </c:pt>
                <c:pt idx="519">
                  <c:v>83.299350168439872</c:v>
                </c:pt>
                <c:pt idx="520">
                  <c:v>83.145749194863569</c:v>
                </c:pt>
                <c:pt idx="521">
                  <c:v>82.992712407361367</c:v>
                </c:pt>
                <c:pt idx="522">
                  <c:v>82.840236710658431</c:v>
                </c:pt>
                <c:pt idx="523">
                  <c:v>82.688319032020473</c:v>
                </c:pt>
                <c:pt idx="524">
                  <c:v>82.536956321050098</c:v>
                </c:pt>
                <c:pt idx="525">
                  <c:v>82.386145549484269</c:v>
                </c:pt>
                <c:pt idx="526">
                  <c:v>82.23588371099477</c:v>
                </c:pt>
                <c:pt idx="527">
                  <c:v>82.086167820990596</c:v>
                </c:pt>
                <c:pt idx="528">
                  <c:v>81.936994916422037</c:v>
                </c:pt>
                <c:pt idx="529">
                  <c:v>81.788362055587726</c:v>
                </c:pt>
                <c:pt idx="530">
                  <c:v>81.640266317943016</c:v>
                </c:pt>
                <c:pt idx="531">
                  <c:v>81.492704803910456</c:v>
                </c:pt>
                <c:pt idx="532">
                  <c:v>81.345674634692926</c:v>
                </c:pt>
                <c:pt idx="533">
                  <c:v>81.199172952088006</c:v>
                </c:pt>
                <c:pt idx="534">
                  <c:v>81.053196918304934</c:v>
                </c:pt>
                <c:pt idx="535">
                  <c:v>80.907743715782871</c:v>
                </c:pt>
                <c:pt idx="536">
                  <c:v>80.762810547011739</c:v>
                </c:pt>
                <c:pt idx="537">
                  <c:v>80.618394634354601</c:v>
                </c:pt>
                <c:pt idx="538">
                  <c:v>80.474493219871945</c:v>
                </c:pt>
                <c:pt idx="539">
                  <c:v>80.331103565147814</c:v>
                </c:pt>
                <c:pt idx="540">
                  <c:v>80.188222951117879</c:v>
                </c:pt>
                <c:pt idx="541">
                  <c:v>80.045848677899329</c:v>
                </c:pt>
                <c:pt idx="542">
                  <c:v>79.903978064622464</c:v>
                </c:pt>
                <c:pt idx="543">
                  <c:v>79.762608449263951</c:v>
                </c:pt>
                <c:pt idx="544">
                  <c:v>79.621737188481873</c:v>
                </c:pt>
                <c:pt idx="545">
                  <c:v>79.481361657452993</c:v>
                </c:pt>
                <c:pt idx="546">
                  <c:v>79.341479249710844</c:v>
                </c:pt>
                <c:pt idx="547">
                  <c:v>79.202087376986213</c:v>
                </c:pt>
                <c:pt idx="548">
                  <c:v>79.063183469048809</c:v>
                </c:pt>
                <c:pt idx="549">
                  <c:v>78.924764973551007</c:v>
                </c:pt>
                <c:pt idx="550">
                  <c:v>78.786829355872911</c:v>
                </c:pt>
                <c:pt idx="551">
                  <c:v>78.649374098969147</c:v>
                </c:pt>
                <c:pt idx="552">
                  <c:v>78.512396703217021</c:v>
                </c:pt>
                <c:pt idx="553">
                  <c:v>78.37589468626669</c:v>
                </c:pt>
                <c:pt idx="554">
                  <c:v>78.239865582892378</c:v>
                </c:pt>
                <c:pt idx="555">
                  <c:v>78.104306944845391</c:v>
                </c:pt>
                <c:pt idx="556">
                  <c:v>77.969216340708684</c:v>
                </c:pt>
                <c:pt idx="557">
                  <c:v>77.834591355752806</c:v>
                </c:pt>
                <c:pt idx="558">
                  <c:v>77.700429591793224</c:v>
                </c:pt>
                <c:pt idx="559">
                  <c:v>77.566728667049304</c:v>
                </c:pt>
                <c:pt idx="560">
                  <c:v>77.433486216004539</c:v>
                </c:pt>
                <c:pt idx="561">
                  <c:v>77.300699889268685</c:v>
                </c:pt>
                <c:pt idx="562">
                  <c:v>77.168367353440274</c:v>
                </c:pt>
                <c:pt idx="563">
                  <c:v>77.036486290971837</c:v>
                </c:pt>
                <c:pt idx="564">
                  <c:v>76.905054400034984</c:v>
                </c:pt>
                <c:pt idx="565">
                  <c:v>76.774069394388775</c:v>
                </c:pt>
                <c:pt idx="566">
                  <c:v>76.643529003247323</c:v>
                </c:pt>
                <c:pt idx="567">
                  <c:v>76.513430971150271</c:v>
                </c:pt>
                <c:pt idx="568">
                  <c:v>76.383773057833864</c:v>
                </c:pt>
                <c:pt idx="569">
                  <c:v>76.254553038103452</c:v>
                </c:pt>
                <c:pt idx="570">
                  <c:v>76.125768701707457</c:v>
                </c:pt>
                <c:pt idx="571">
                  <c:v>75.997417853212283</c:v>
                </c:pt>
                <c:pt idx="572">
                  <c:v>75.869498311878743</c:v>
                </c:pt>
                <c:pt idx="573">
                  <c:v>75.742007911539318</c:v>
                </c:pt>
                <c:pt idx="574">
                  <c:v>75.614944500477449</c:v>
                </c:pt>
                <c:pt idx="575">
                  <c:v>75.488305941307289</c:v>
                </c:pt>
                <c:pt idx="576">
                  <c:v>75.362090110854581</c:v>
                </c:pt>
                <c:pt idx="577">
                  <c:v>75.236294900039269</c:v>
                </c:pt>
                <c:pt idx="578">
                  <c:v>75.110918213759149</c:v>
                </c:pt>
                <c:pt idx="579">
                  <c:v>74.985957970774294</c:v>
                </c:pt>
                <c:pt idx="580">
                  <c:v>74.861412103592826</c:v>
                </c:pt>
                <c:pt idx="581">
                  <c:v>74.737278558358042</c:v>
                </c:pt>
                <c:pt idx="582">
                  <c:v>74.613555294736301</c:v>
                </c:pt>
                <c:pt idx="583">
                  <c:v>74.490240285806223</c:v>
                </c:pt>
                <c:pt idx="584">
                  <c:v>74.367331517948799</c:v>
                </c:pt>
                <c:pt idx="585">
                  <c:v>74.2448269907389</c:v>
                </c:pt>
                <c:pt idx="586">
                  <c:v>74.122724716837396</c:v>
                </c:pt>
                <c:pt idx="587">
                  <c:v>74.001022721884638</c:v>
                </c:pt>
                <c:pt idx="588">
                  <c:v>73.87971904439506</c:v>
                </c:pt>
                <c:pt idx="589">
                  <c:v>73.758811735652301</c:v>
                </c:pt>
                <c:pt idx="590">
                  <c:v>73.638298859606081</c:v>
                </c:pt>
                <c:pt idx="591">
                  <c:v>73.518178492769437</c:v>
                </c:pt>
                <c:pt idx="592">
                  <c:v>73.398448724117301</c:v>
                </c:pt>
                <c:pt idx="593">
                  <c:v>73.279107654985779</c:v>
                </c:pt>
                <c:pt idx="594">
                  <c:v>73.160153398972895</c:v>
                </c:pt>
                <c:pt idx="595">
                  <c:v>73.041584081839758</c:v>
                </c:pt>
                <c:pt idx="596">
                  <c:v>72.923397841412836</c:v>
                </c:pt>
                <c:pt idx="597">
                  <c:v>72.805592827487388</c:v>
                </c:pt>
                <c:pt idx="598">
                  <c:v>72.688167201731702</c:v>
                </c:pt>
                <c:pt idx="599">
                  <c:v>72.571119137592035</c:v>
                </c:pt>
                <c:pt idx="600">
                  <c:v>72.45444682019864</c:v>
                </c:pt>
                <c:pt idx="601">
                  <c:v>72.338148446272911</c:v>
                </c:pt>
                <c:pt idx="602">
                  <c:v>72.22222222403478</c:v>
                </c:pt>
                <c:pt idx="603">
                  <c:v>72.106666373112063</c:v>
                </c:pt>
                <c:pt idx="604">
                  <c:v>71.991479124449157</c:v>
                </c:pt>
                <c:pt idx="605">
                  <c:v>71.876658720218117</c:v>
                </c:pt>
                <c:pt idx="606">
                  <c:v>71.76220341372958</c:v>
                </c:pt>
                <c:pt idx="607">
                  <c:v>71.64811146934511</c:v>
                </c:pt>
                <c:pt idx="608">
                  <c:v>71.534381162389778</c:v>
                </c:pt>
                <c:pt idx="609">
                  <c:v>71.421010779066179</c:v>
                </c:pt>
                <c:pt idx="610">
                  <c:v>71.307998616368764</c:v>
                </c:pt>
                <c:pt idx="611">
                  <c:v>71.195342981999516</c:v>
                </c:pt>
                <c:pt idx="612">
                  <c:v>71.08304219428382</c:v>
                </c:pt>
                <c:pt idx="613">
                  <c:v>70.971094582087247</c:v>
                </c:pt>
                <c:pt idx="614">
                  <c:v>70.859498484733976</c:v>
                </c:pt>
                <c:pt idx="615">
                  <c:v>70.74825225192437</c:v>
                </c:pt>
                <c:pt idx="616">
                  <c:v>70.637354243654841</c:v>
                </c:pt>
                <c:pt idx="617">
                  <c:v>70.526802830137612</c:v>
                </c:pt>
                <c:pt idx="618">
                  <c:v>70.416596391721257</c:v>
                </c:pt>
                <c:pt idx="619">
                  <c:v>70.306733318812832</c:v>
                </c:pt>
                <c:pt idx="620">
                  <c:v>70.197212011799294</c:v>
                </c:pt>
                <c:pt idx="621">
                  <c:v>70.088030880970706</c:v>
                </c:pt>
                <c:pt idx="622">
                  <c:v>69.979188346444062</c:v>
                </c:pt>
                <c:pt idx="623">
                  <c:v>69.870682838087419</c:v>
                </c:pt>
                <c:pt idx="624">
                  <c:v>69.762512795445048</c:v>
                </c:pt>
                <c:pt idx="625">
                  <c:v>69.654676667662812</c:v>
                </c:pt>
                <c:pt idx="626">
                  <c:v>69.547172913415082</c:v>
                </c:pt>
                <c:pt idx="627">
                  <c:v>69.440000000831418</c:v>
                </c:pt>
                <c:pt idx="628">
                  <c:v>69.333156407424653</c:v>
                </c:pt>
                <c:pt idx="629">
                  <c:v>69.2266406200186</c:v>
                </c:pt>
                <c:pt idx="630">
                  <c:v>69.120451134678135</c:v>
                </c:pt>
                <c:pt idx="631">
                  <c:v>69.014586456638142</c:v>
                </c:pt>
                <c:pt idx="632">
                  <c:v>68.909045100233968</c:v>
                </c:pt>
                <c:pt idx="633">
                  <c:v>68.803825588832566</c:v>
                </c:pt>
                <c:pt idx="634">
                  <c:v>68.698926454763949</c:v>
                </c:pt>
                <c:pt idx="635">
                  <c:v>68.594346239253824</c:v>
                </c:pt>
                <c:pt idx="636">
                  <c:v>68.490083492355694</c:v>
                </c:pt>
                <c:pt idx="637">
                  <c:v>68.386136772884726</c:v>
                </c:pt>
                <c:pt idx="638">
                  <c:v>68.282504648351889</c:v>
                </c:pt>
                <c:pt idx="639">
                  <c:v>68.179185694898422</c:v>
                </c:pt>
                <c:pt idx="640">
                  <c:v>68.076178497231126</c:v>
                </c:pt>
                <c:pt idx="641">
                  <c:v>67.973481648557822</c:v>
                </c:pt>
                <c:pt idx="642">
                  <c:v>67.871093750524423</c:v>
                </c:pt>
                <c:pt idx="643">
                  <c:v>67.769013413151171</c:v>
                </c:pt>
                <c:pt idx="644">
                  <c:v>67.667239254770791</c:v>
                </c:pt>
                <c:pt idx="645">
                  <c:v>67.565769901965766</c:v>
                </c:pt>
                <c:pt idx="646">
                  <c:v>67.464603989507808</c:v>
                </c:pt>
                <c:pt idx="647">
                  <c:v>67.363740160296373</c:v>
                </c:pt>
                <c:pt idx="648">
                  <c:v>67.263177065298876</c:v>
                </c:pt>
                <c:pt idx="649">
                  <c:v>67.162913363490375</c:v>
                </c:pt>
                <c:pt idx="650">
                  <c:v>67.062947721794856</c:v>
                </c:pt>
                <c:pt idx="651">
                  <c:v>66.963278815026314</c:v>
                </c:pt>
                <c:pt idx="652">
                  <c:v>66.863905325830487</c:v>
                </c:pt>
                <c:pt idx="653">
                  <c:v>66.764825944627304</c:v>
                </c:pt>
                <c:pt idx="654">
                  <c:v>66.666039369553545</c:v>
                </c:pt>
                <c:pt idx="655">
                  <c:v>66.567544306406688</c:v>
                </c:pt>
                <c:pt idx="656">
                  <c:v>66.469339468587862</c:v>
                </c:pt>
                <c:pt idx="657">
                  <c:v>66.371423577047011</c:v>
                </c:pt>
                <c:pt idx="658">
                  <c:v>66.273795360227254</c:v>
                </c:pt>
                <c:pt idx="659">
                  <c:v>66.176453554010408</c:v>
                </c:pt>
                <c:pt idx="660">
                  <c:v>66.079396901662491</c:v>
                </c:pt>
                <c:pt idx="661">
                  <c:v>65.982624153780378</c:v>
                </c:pt>
                <c:pt idx="662">
                  <c:v>65.886134068238007</c:v>
                </c:pt>
                <c:pt idx="663">
                  <c:v>65.789925410134032</c:v>
                </c:pt>
                <c:pt idx="664">
                  <c:v>65.69399695173901</c:v>
                </c:pt>
                <c:pt idx="665">
                  <c:v>65.598347472444075</c:v>
                </c:pt>
                <c:pt idx="666">
                  <c:v>65.502975758708914</c:v>
                </c:pt>
                <c:pt idx="667">
                  <c:v>65.407880604010927</c:v>
                </c:pt>
                <c:pt idx="668">
                  <c:v>65.313060808794916</c:v>
                </c:pt>
                <c:pt idx="669">
                  <c:v>65.218515180422585</c:v>
                </c:pt>
                <c:pt idx="670">
                  <c:v>65.124242533122967</c:v>
                </c:pt>
                <c:pt idx="671">
                  <c:v>65.030241687943331</c:v>
                </c:pt>
                <c:pt idx="672">
                  <c:v>64.936511472699962</c:v>
                </c:pt>
                <c:pt idx="673">
                  <c:v>64.843050721929941</c:v>
                </c:pt>
                <c:pt idx="674">
                  <c:v>64.749858276843298</c:v>
                </c:pt>
                <c:pt idx="675">
                  <c:v>64.656932985275049</c:v>
                </c:pt>
                <c:pt idx="676">
                  <c:v>64.564273701638058</c:v>
                </c:pt>
                <c:pt idx="677">
                  <c:v>64.471879286876373</c:v>
                </c:pt>
                <c:pt idx="678">
                  <c:v>64.37974860841895</c:v>
                </c:pt>
                <c:pt idx="679">
                  <c:v>64.287880540133145</c:v>
                </c:pt>
                <c:pt idx="680">
                  <c:v>64.196273962279847</c:v>
                </c:pt>
                <c:pt idx="681">
                  <c:v>64.104927761467195</c:v>
                </c:pt>
                <c:pt idx="682">
                  <c:v>64.01384083060681</c:v>
                </c:pt>
                <c:pt idx="683">
                  <c:v>63.9230120688689</c:v>
                </c:pt>
                <c:pt idx="684">
                  <c:v>63.832440381637653</c:v>
                </c:pt>
                <c:pt idx="685">
                  <c:v>63.742124680468415</c:v>
                </c:pt>
                <c:pt idx="686">
                  <c:v>63.65206388304361</c:v>
                </c:pt>
                <c:pt idx="687">
                  <c:v>63.56225691313022</c:v>
                </c:pt>
                <c:pt idx="688">
                  <c:v>63.472702700536907</c:v>
                </c:pt>
                <c:pt idx="689">
                  <c:v>63.383400181071728</c:v>
                </c:pt>
                <c:pt idx="690">
                  <c:v>63.294348296500303</c:v>
                </c:pt>
                <c:pt idx="691">
                  <c:v>63.205545994504334</c:v>
                </c:pt>
                <c:pt idx="692">
                  <c:v>63.1169922286402</c:v>
                </c:pt>
                <c:pt idx="693">
                  <c:v>63.028685958298119</c:v>
                </c:pt>
                <c:pt idx="694">
                  <c:v>62.940626148661678</c:v>
                </c:pt>
                <c:pt idx="695">
                  <c:v>62.8528117706676</c:v>
                </c:pt>
                <c:pt idx="696">
                  <c:v>62.765241800965867</c:v>
                </c:pt>
                <c:pt idx="697">
                  <c:v>62.677915221880212</c:v>
                </c:pt>
                <c:pt idx="698">
                  <c:v>62.590831021368821</c:v>
                </c:pt>
                <c:pt idx="699">
                  <c:v>62.503988192985659</c:v>
                </c:pt>
                <c:pt idx="700">
                  <c:v>62.417385735841563</c:v>
                </c:pt>
                <c:pt idx="701">
                  <c:v>62.331022654566397</c:v>
                </c:pt>
                <c:pt idx="702">
                  <c:v>62.244897959270723</c:v>
                </c:pt>
                <c:pt idx="703">
                  <c:v>62.159010665508454</c:v>
                </c:pt>
                <c:pt idx="704">
                  <c:v>62.073359794239593</c:v>
                </c:pt>
                <c:pt idx="705">
                  <c:v>61.987944371792906</c:v>
                </c:pt>
                <c:pt idx="706">
                  <c:v>61.902763429829442</c:v>
                </c:pt>
                <c:pt idx="707">
                  <c:v>61.817816005306256</c:v>
                </c:pt>
                <c:pt idx="708">
                  <c:v>61.733101140440056</c:v>
                </c:pt>
                <c:pt idx="709">
                  <c:v>61.648617882671459</c:v>
                </c:pt>
                <c:pt idx="710">
                  <c:v>61.564365284629503</c:v>
                </c:pt>
                <c:pt idx="711">
                  <c:v>61.480342404096476</c:v>
                </c:pt>
                <c:pt idx="712">
                  <c:v>61.396548303972907</c:v>
                </c:pt>
                <c:pt idx="713">
                  <c:v>61.312982052242923</c:v>
                </c:pt>
                <c:pt idx="714">
                  <c:v>61.229642721939847</c:v>
                </c:pt>
                <c:pt idx="715">
                  <c:v>61.14652939111209</c:v>
                </c:pt>
                <c:pt idx="716">
                  <c:v>61.063641142789436</c:v>
                </c:pt>
                <c:pt idx="717">
                  <c:v>60.980977064949322</c:v>
                </c:pt>
                <c:pt idx="718">
                  <c:v>60.898536250483716</c:v>
                </c:pt>
                <c:pt idx="719">
                  <c:v>60.816317797165944</c:v>
                </c:pt>
                <c:pt idx="720">
                  <c:v>60.734320807618147</c:v>
                </c:pt>
                <c:pt idx="721">
                  <c:v>60.652544389278596</c:v>
                </c:pt>
                <c:pt idx="722">
                  <c:v>60.570987654369574</c:v>
                </c:pt>
                <c:pt idx="723">
                  <c:v>60.489649719865355</c:v>
                </c:pt>
                <c:pt idx="724">
                  <c:v>60.408529707460609</c:v>
                </c:pt>
                <c:pt idx="725">
                  <c:v>60.327626743538808</c:v>
                </c:pt>
                <c:pt idx="726">
                  <c:v>60.246939959140974</c:v>
                </c:pt>
                <c:pt idx="727">
                  <c:v>60.166468489935042</c:v>
                </c:pt>
                <c:pt idx="728">
                  <c:v>60.086211476184722</c:v>
                </c:pt>
                <c:pt idx="729">
                  <c:v>60.006168062719333</c:v>
                </c:pt>
                <c:pt idx="730">
                  <c:v>59.926337398903449</c:v>
                </c:pt>
                <c:pt idx="731">
                  <c:v>59.846718638606966</c:v>
                </c:pt>
                <c:pt idx="732">
                  <c:v>59.7673109401753</c:v>
                </c:pt>
                <c:pt idx="733">
                  <c:v>59.688113466399891</c:v>
                </c:pt>
                <c:pt idx="734">
                  <c:v>59.609125384488998</c:v>
                </c:pt>
                <c:pt idx="735">
                  <c:v>59.530345866038445</c:v>
                </c:pt>
                <c:pt idx="736">
                  <c:v>59.45177408700318</c:v>
                </c:pt>
                <c:pt idx="737">
                  <c:v>59.373409227668176</c:v>
                </c:pt>
                <c:pt idx="738">
                  <c:v>59.295250472620452</c:v>
                </c:pt>
                <c:pt idx="739">
                  <c:v>59.217297010720728</c:v>
                </c:pt>
                <c:pt idx="740">
                  <c:v>59.139548035075691</c:v>
                </c:pt>
                <c:pt idx="741">
                  <c:v>59.062002743010012</c:v>
                </c:pt>
                <c:pt idx="742">
                  <c:v>58.98466033603902</c:v>
                </c:pt>
                <c:pt idx="743">
                  <c:v>58.907520019841485</c:v>
                </c:pt>
                <c:pt idx="744">
                  <c:v>58.830581004232393</c:v>
                </c:pt>
                <c:pt idx="745">
                  <c:v>58.753842503136241</c:v>
                </c:pt>
                <c:pt idx="746">
                  <c:v>58.677303734560169</c:v>
                </c:pt>
                <c:pt idx="747">
                  <c:v>58.600963920567828</c:v>
                </c:pt>
                <c:pt idx="748">
                  <c:v>58.524822287252896</c:v>
                </c:pt>
                <c:pt idx="749">
                  <c:v>58.448878064713128</c:v>
                </c:pt>
                <c:pt idx="750">
                  <c:v>58.373130487024547</c:v>
                </c:pt>
                <c:pt idx="751">
                  <c:v>58.297578792215823</c:v>
                </c:pt>
                <c:pt idx="752">
                  <c:v>58.222222222242785</c:v>
                </c:pt>
                <c:pt idx="753">
                  <c:v>58.147060022963217</c:v>
                </c:pt>
                <c:pt idx="754">
                  <c:v>58.072091444111791</c:v>
                </c:pt>
                <c:pt idx="755">
                  <c:v>57.997315739275237</c:v>
                </c:pt>
                <c:pt idx="756">
                  <c:v>57.922732165867693</c:v>
                </c:pt>
                <c:pt idx="757">
                  <c:v>57.848339985106229</c:v>
                </c:pt>
                <c:pt idx="758">
                  <c:v>57.77413846198651</c:v>
                </c:pt>
                <c:pt idx="759">
                  <c:v>57.700126865258753</c:v>
                </c:pt>
                <c:pt idx="760">
                  <c:v>57.626304467403855</c:v>
                </c:pt>
                <c:pt idx="761">
                  <c:v>57.552670544609512</c:v>
                </c:pt>
                <c:pt idx="762">
                  <c:v>57.479224376746814</c:v>
                </c:pt>
                <c:pt idx="763">
                  <c:v>57.405965247346792</c:v>
                </c:pt>
                <c:pt idx="764">
                  <c:v>57.332892443577308</c:v>
                </c:pt>
                <c:pt idx="765">
                  <c:v>57.260005256219905</c:v>
                </c:pt>
                <c:pt idx="766">
                  <c:v>57.187302979647065</c:v>
                </c:pt>
                <c:pt idx="767">
                  <c:v>57.114784911799518</c:v>
                </c:pt>
                <c:pt idx="768">
                  <c:v>57.042450354163705</c:v>
                </c:pt>
                <c:pt idx="769">
                  <c:v>56.970298611749492</c:v>
                </c:pt>
                <c:pt idx="770">
                  <c:v>56.898328993067935</c:v>
                </c:pt>
                <c:pt idx="771">
                  <c:v>56.826540810109407</c:v>
                </c:pt>
                <c:pt idx="772">
                  <c:v>56.754933378321688</c:v>
                </c:pt>
                <c:pt idx="773">
                  <c:v>56.683506016588304</c:v>
                </c:pt>
                <c:pt idx="774">
                  <c:v>56.61225804720695</c:v>
                </c:pt>
                <c:pt idx="775">
                  <c:v>56.541188795868337</c:v>
                </c:pt>
                <c:pt idx="776">
                  <c:v>56.470297591634896</c:v>
                </c:pt>
                <c:pt idx="777">
                  <c:v>56.399583766919655</c:v>
                </c:pt>
                <c:pt idx="778">
                  <c:v>56.329046657465511</c:v>
                </c:pt>
                <c:pt idx="779">
                  <c:v>56.258685602324533</c:v>
                </c:pt>
                <c:pt idx="780">
                  <c:v>56.188499943837364</c:v>
                </c:pt>
                <c:pt idx="781">
                  <c:v>56.118489027612704</c:v>
                </c:pt>
                <c:pt idx="782">
                  <c:v>56.048652202507192</c:v>
                </c:pt>
                <c:pt idx="783">
                  <c:v>55.978988820605331</c:v>
                </c:pt>
                <c:pt idx="784">
                  <c:v>55.909498237199365</c:v>
                </c:pt>
                <c:pt idx="785">
                  <c:v>55.840179810769705</c:v>
                </c:pt>
                <c:pt idx="786">
                  <c:v>55.771032902965025</c:v>
                </c:pt>
                <c:pt idx="787">
                  <c:v>55.702056878582873</c:v>
                </c:pt>
                <c:pt idx="788">
                  <c:v>55.6332511055504</c:v>
                </c:pt>
                <c:pt idx="789">
                  <c:v>55.564614954904911</c:v>
                </c:pt>
                <c:pt idx="790">
                  <c:v>55.496147800774949</c:v>
                </c:pt>
                <c:pt idx="791">
                  <c:v>55.427849020361208</c:v>
                </c:pt>
                <c:pt idx="792">
                  <c:v>55.359717993917947</c:v>
                </c:pt>
                <c:pt idx="793">
                  <c:v>55.291754104734011</c:v>
                </c:pt>
                <c:pt idx="794">
                  <c:v>55.223956739114584</c:v>
                </c:pt>
                <c:pt idx="795">
                  <c:v>55.156325286362645</c:v>
                </c:pt>
                <c:pt idx="796">
                  <c:v>55.088859138760775</c:v>
                </c:pt>
                <c:pt idx="797">
                  <c:v>55.021557691552864</c:v>
                </c:pt>
                <c:pt idx="798">
                  <c:v>54.95442034292634</c:v>
                </c:pt>
                <c:pt idx="799">
                  <c:v>54.887446493994091</c:v>
                </c:pt>
                <c:pt idx="800">
                  <c:v>54.820635548777062</c:v>
                </c:pt>
                <c:pt idx="801">
                  <c:v>54.753986914186136</c:v>
                </c:pt>
                <c:pt idx="802">
                  <c:v>54.687500000005073</c:v>
                </c:pt>
                <c:pt idx="803">
                  <c:v>54.621174218873044</c:v>
                </c:pt>
                <c:pt idx="804">
                  <c:v>54.555008986267339</c:v>
                </c:pt>
                <c:pt idx="805">
                  <c:v>54.489003720486274</c:v>
                </c:pt>
                <c:pt idx="806">
                  <c:v>54.423157842632222</c:v>
                </c:pt>
                <c:pt idx="807">
                  <c:v>54.35747077659483</c:v>
                </c:pt>
                <c:pt idx="808">
                  <c:v>54.291941949034211</c:v>
                </c:pt>
                <c:pt idx="809">
                  <c:v>54.226570789364338</c:v>
                </c:pt>
                <c:pt idx="810">
                  <c:v>54.161356729736447</c:v>
                </c:pt>
                <c:pt idx="811">
                  <c:v>54.096299205022916</c:v>
                </c:pt>
                <c:pt idx="812">
                  <c:v>54.031397652800678</c:v>
                </c:pt>
                <c:pt idx="813">
                  <c:v>53.966651513335385</c:v>
                </c:pt>
                <c:pt idx="814">
                  <c:v>53.902060229565151</c:v>
                </c:pt>
                <c:pt idx="815">
                  <c:v>53.837623247084743</c:v>
                </c:pt>
                <c:pt idx="816">
                  <c:v>53.773340014129708</c:v>
                </c:pt>
                <c:pt idx="817">
                  <c:v>53.709209981560832</c:v>
                </c:pt>
                <c:pt idx="818">
                  <c:v>53.645232602848367</c:v>
                </c:pt>
                <c:pt idx="819">
                  <c:v>53.581407334056649</c:v>
                </c:pt>
                <c:pt idx="820">
                  <c:v>53.517733633828833</c:v>
                </c:pt>
                <c:pt idx="821">
                  <c:v>53.454210963371509</c:v>
                </c:pt>
                <c:pt idx="822">
                  <c:v>53.390838786439609</c:v>
                </c:pt>
                <c:pt idx="823">
                  <c:v>53.327616569321364</c:v>
                </c:pt>
                <c:pt idx="824">
                  <c:v>53.264543780823395</c:v>
                </c:pt>
                <c:pt idx="825">
                  <c:v>53.201619892255984</c:v>
                </c:pt>
                <c:pt idx="826">
                  <c:v>53.138844377418046</c:v>
                </c:pt>
                <c:pt idx="827">
                  <c:v>53.076216712582919</c:v>
                </c:pt>
                <c:pt idx="828">
                  <c:v>53.013736376483578</c:v>
                </c:pt>
                <c:pt idx="829">
                  <c:v>52.951402850298322</c:v>
                </c:pt>
                <c:pt idx="830">
                  <c:v>52.889215617636431</c:v>
                </c:pt>
                <c:pt idx="831">
                  <c:v>52.827174164523946</c:v>
                </c:pt>
                <c:pt idx="832">
                  <c:v>52.765277979389673</c:v>
                </c:pt>
                <c:pt idx="833">
                  <c:v>52.703526553051098</c:v>
                </c:pt>
                <c:pt idx="834">
                  <c:v>52.641919378700344</c:v>
                </c:pt>
                <c:pt idx="835">
                  <c:v>52.580455951890634</c:v>
                </c:pt>
                <c:pt idx="836">
                  <c:v>52.519135770522304</c:v>
                </c:pt>
                <c:pt idx="837">
                  <c:v>52.4579583348293</c:v>
                </c:pt>
                <c:pt idx="838">
                  <c:v>52.39692314736579</c:v>
                </c:pt>
                <c:pt idx="839">
                  <c:v>52.3360297129923</c:v>
                </c:pt>
                <c:pt idx="840">
                  <c:v>52.275277538862944</c:v>
                </c:pt>
                <c:pt idx="841">
                  <c:v>52.214666134411729</c:v>
                </c:pt>
                <c:pt idx="842">
                  <c:v>52.154195011339588</c:v>
                </c:pt>
                <c:pt idx="843">
                  <c:v>52.093863683601263</c:v>
                </c:pt>
                <c:pt idx="844">
                  <c:v>52.033671667392369</c:v>
                </c:pt>
                <c:pt idx="845">
                  <c:v>51.97361848113642</c:v>
                </c:pt>
                <c:pt idx="846">
                  <c:v>51.913703645472239</c:v>
                </c:pt>
                <c:pt idx="847">
                  <c:v>51.853926683240893</c:v>
                </c:pt>
                <c:pt idx="848">
                  <c:v>51.794287119473402</c:v>
                </c:pt>
                <c:pt idx="849">
                  <c:v>51.734784481378142</c:v>
                </c:pt>
                <c:pt idx="850">
                  <c:v>51.675418298328225</c:v>
                </c:pt>
                <c:pt idx="851">
                  <c:v>51.616188101849154</c:v>
                </c:pt>
                <c:pt idx="852">
                  <c:v>51.557093425606851</c:v>
                </c:pt>
                <c:pt idx="853">
                  <c:v>51.498133805395085</c:v>
                </c:pt>
                <c:pt idx="854">
                  <c:v>51.439308779123564</c:v>
                </c:pt>
                <c:pt idx="855">
                  <c:v>51.380617886805815</c:v>
                </c:pt>
                <c:pt idx="856">
                  <c:v>51.322060670547259</c:v>
                </c:pt>
                <c:pt idx="857">
                  <c:v>51.263636674533522</c:v>
                </c:pt>
                <c:pt idx="858">
                  <c:v>51.205345445018175</c:v>
                </c:pt>
                <c:pt idx="859">
                  <c:v>51.147186530311579</c:v>
                </c:pt>
                <c:pt idx="860">
                  <c:v>51.089159480768956</c:v>
                </c:pt>
                <c:pt idx="861">
                  <c:v>51.031263848778835</c:v>
                </c:pt>
                <c:pt idx="862">
                  <c:v>50.973499188751695</c:v>
                </c:pt>
                <c:pt idx="863">
                  <c:v>50.915865057108491</c:v>
                </c:pt>
                <c:pt idx="864">
                  <c:v>50.858361012269398</c:v>
                </c:pt>
                <c:pt idx="865">
                  <c:v>50.800986614642532</c:v>
                </c:pt>
                <c:pt idx="866">
                  <c:v>50.743741426612729</c:v>
                </c:pt>
                <c:pt idx="867">
                  <c:v>50.686625012530577</c:v>
                </c:pt>
                <c:pt idx="868">
                  <c:v>50.629636938701253</c:v>
                </c:pt>
                <c:pt idx="869">
                  <c:v>50.572776773373853</c:v>
                </c:pt>
                <c:pt idx="870">
                  <c:v>50.516044086730211</c:v>
                </c:pt>
                <c:pt idx="871">
                  <c:v>50.459438450874181</c:v>
                </c:pt>
                <c:pt idx="872">
                  <c:v>50.402959439821089</c:v>
                </c:pt>
                <c:pt idx="873">
                  <c:v>50.346606629486871</c:v>
                </c:pt>
                <c:pt idx="874">
                  <c:v>50.290379597677678</c:v>
                </c:pt>
                <c:pt idx="875">
                  <c:v>50.234277924079166</c:v>
                </c:pt>
                <c:pt idx="876">
                  <c:v>50.178301190246231</c:v>
                </c:pt>
                <c:pt idx="877">
                  <c:v>50.122448979592505</c:v>
                </c:pt>
                <c:pt idx="878">
                  <c:v>50.066720877380206</c:v>
                </c:pt>
                <c:pt idx="879">
                  <c:v>50.011116470709723</c:v>
                </c:pt>
                <c:pt idx="880">
                  <c:v>49.955635348509581</c:v>
                </c:pt>
                <c:pt idx="881">
                  <c:v>49.900277101526427</c:v>
                </c:pt>
                <c:pt idx="882">
                  <c:v>49.845041322314657</c:v>
                </c:pt>
                <c:pt idx="883">
                  <c:v>49.789927605226794</c:v>
                </c:pt>
                <c:pt idx="884">
                  <c:v>49.734935546403555</c:v>
                </c:pt>
                <c:pt idx="885">
                  <c:v>49.680064743763758</c:v>
                </c:pt>
                <c:pt idx="886">
                  <c:v>49.6253147969949</c:v>
                </c:pt>
                <c:pt idx="887">
                  <c:v>49.570685307543073</c:v>
                </c:pt>
                <c:pt idx="888">
                  <c:v>49.516175878603711</c:v>
                </c:pt>
                <c:pt idx="889">
                  <c:v>49.461786115111785</c:v>
                </c:pt>
                <c:pt idx="890">
                  <c:v>49.407515623732316</c:v>
                </c:pt>
                <c:pt idx="891">
                  <c:v>49.353364012850939</c:v>
                </c:pt>
                <c:pt idx="892">
                  <c:v>49.299330892564527</c:v>
                </c:pt>
                <c:pt idx="893">
                  <c:v>49.245415874671849</c:v>
                </c:pt>
                <c:pt idx="894">
                  <c:v>49.191618572664282</c:v>
                </c:pt>
                <c:pt idx="895">
                  <c:v>49.137938601716655</c:v>
                </c:pt>
                <c:pt idx="896">
                  <c:v>49.084375578678035</c:v>
                </c:pt>
                <c:pt idx="897">
                  <c:v>49.030929122062773</c:v>
                </c:pt>
                <c:pt idx="898">
                  <c:v>48.977598852041233</c:v>
                </c:pt>
                <c:pt idx="899">
                  <c:v>48.924384390431008</c:v>
                </c:pt>
                <c:pt idx="900">
                  <c:v>48.871285360688056</c:v>
                </c:pt>
                <c:pt idx="901">
                  <c:v>48.818301387897669</c:v>
                </c:pt>
                <c:pt idx="902">
                  <c:v>48.765432098765807</c:v>
                </c:pt>
                <c:pt idx="903">
                  <c:v>48.712677121610184</c:v>
                </c:pt>
                <c:pt idx="904">
                  <c:v>48.660036086351916</c:v>
                </c:pt>
                <c:pt idx="905">
                  <c:v>48.607508624506558</c:v>
                </c:pt>
                <c:pt idx="906">
                  <c:v>48.555094369175684</c:v>
                </c:pt>
                <c:pt idx="907">
                  <c:v>48.502792955038323</c:v>
                </c:pt>
                <c:pt idx="908">
                  <c:v>48.450604018342574</c:v>
                </c:pt>
                <c:pt idx="909">
                  <c:v>48.398527196897156</c:v>
                </c:pt>
                <c:pt idx="910">
                  <c:v>48.346562130062985</c:v>
                </c:pt>
                <c:pt idx="911">
                  <c:v>48.294708458744942</c:v>
                </c:pt>
                <c:pt idx="912">
                  <c:v>48.242965825383685</c:v>
                </c:pt>
                <c:pt idx="913">
                  <c:v>48.191333873947308</c:v>
                </c:pt>
                <c:pt idx="914">
                  <c:v>48.139812249923303</c:v>
                </c:pt>
                <c:pt idx="915">
                  <c:v>48.088400600310486</c:v>
                </c:pt>
                <c:pt idx="916">
                  <c:v>48.037098573610834</c:v>
                </c:pt>
                <c:pt idx="917">
                  <c:v>47.98590581982166</c:v>
                </c:pt>
                <c:pt idx="918">
                  <c:v>47.934821990427587</c:v>
                </c:pt>
                <c:pt idx="919">
                  <c:v>47.88384673839257</c:v>
                </c:pt>
                <c:pt idx="920">
                  <c:v>47.832979718152302</c:v>
                </c:pt>
                <c:pt idx="921">
                  <c:v>47.782220585606225</c:v>
                </c:pt>
                <c:pt idx="922">
                  <c:v>47.731568998109864</c:v>
                </c:pt>
                <c:pt idx="923">
                  <c:v>47.681024614467113</c:v>
                </c:pt>
                <c:pt idx="924">
                  <c:v>47.630587094922582</c:v>
                </c:pt>
                <c:pt idx="925">
                  <c:v>47.580256101154163</c:v>
                </c:pt>
                <c:pt idx="926">
                  <c:v>47.530031296265257</c:v>
                </c:pt>
                <c:pt idx="927">
                  <c:v>47.479912344777389</c:v>
                </c:pt>
                <c:pt idx="928">
                  <c:v>47.429898912622811</c:v>
                </c:pt>
                <c:pt idx="929">
                  <c:v>47.37999066713698</c:v>
                </c:pt>
                <c:pt idx="930">
                  <c:v>47.33018727705133</c:v>
                </c:pt>
                <c:pt idx="931">
                  <c:v>47.280488412485752</c:v>
                </c:pt>
                <c:pt idx="932">
                  <c:v>47.230893744941788</c:v>
                </c:pt>
                <c:pt idx="933">
                  <c:v>47.181402947294757</c:v>
                </c:pt>
                <c:pt idx="934">
                  <c:v>47.13201569378711</c:v>
                </c:pt>
                <c:pt idx="935">
                  <c:v>47.082731660021125</c:v>
                </c:pt>
                <c:pt idx="936">
                  <c:v>47.033550522951778</c:v>
                </c:pt>
                <c:pt idx="937">
                  <c:v>46.984471960879766</c:v>
                </c:pt>
                <c:pt idx="938">
                  <c:v>46.935495653444505</c:v>
                </c:pt>
                <c:pt idx="939">
                  <c:v>46.886621281617124</c:v>
                </c:pt>
                <c:pt idx="940">
                  <c:v>46.837848527693694</c:v>
                </c:pt>
                <c:pt idx="941">
                  <c:v>46.78917707528813</c:v>
                </c:pt>
                <c:pt idx="942">
                  <c:v>46.740606609325603</c:v>
                </c:pt>
                <c:pt idx="943">
                  <c:v>46.692136816035685</c:v>
                </c:pt>
                <c:pt idx="944">
                  <c:v>46.643767382945576</c:v>
                </c:pt>
                <c:pt idx="945">
                  <c:v>46.595497998873327</c:v>
                </c:pt>
                <c:pt idx="946">
                  <c:v>46.547328353921408</c:v>
                </c:pt>
                <c:pt idx="947">
                  <c:v>46.499258139469916</c:v>
                </c:pt>
                <c:pt idx="948">
                  <c:v>46.451287048170016</c:v>
                </c:pt>
                <c:pt idx="949">
                  <c:v>46.40341477393747</c:v>
                </c:pt>
                <c:pt idx="950">
                  <c:v>46.355641011946197</c:v>
                </c:pt>
                <c:pt idx="951">
                  <c:v>46.307965458621631</c:v>
                </c:pt>
                <c:pt idx="952">
                  <c:v>46.26038781163443</c:v>
                </c:pt>
                <c:pt idx="953">
                  <c:v>46.212907769894201</c:v>
                </c:pt>
                <c:pt idx="954">
                  <c:v>46.165525033542913</c:v>
                </c:pt>
                <c:pt idx="955">
                  <c:v>46.118239303948862</c:v>
                </c:pt>
                <c:pt idx="956">
                  <c:v>46.071050283700224</c:v>
                </c:pt>
                <c:pt idx="957">
                  <c:v>46.023957676598869</c:v>
                </c:pt>
                <c:pt idx="958">
                  <c:v>45.976961187654396</c:v>
                </c:pt>
                <c:pt idx="959">
                  <c:v>45.930060523077572</c:v>
                </c:pt>
                <c:pt idx="960">
                  <c:v>45.883255390274726</c:v>
                </c:pt>
                <c:pt idx="961">
                  <c:v>45.836545497841186</c:v>
                </c:pt>
                <c:pt idx="962">
                  <c:v>45.789930555555642</c:v>
                </c:pt>
                <c:pt idx="963">
                  <c:v>45.743410274373929</c:v>
                </c:pt>
                <c:pt idx="964">
                  <c:v>45.696984366423116</c:v>
                </c:pt>
                <c:pt idx="965">
                  <c:v>45.650652544995616</c:v>
                </c:pt>
                <c:pt idx="966">
                  <c:v>45.60441452454338</c:v>
                </c:pt>
                <c:pt idx="967">
                  <c:v>45.55827002067177</c:v>
                </c:pt>
                <c:pt idx="968">
                  <c:v>45.512218750134018</c:v>
                </c:pt>
                <c:pt idx="969">
                  <c:v>45.466260430825365</c:v>
                </c:pt>
                <c:pt idx="970">
                  <c:v>45.420394781777276</c:v>
                </c:pt>
                <c:pt idx="971">
                  <c:v>45.374621523151738</c:v>
                </c:pt>
                <c:pt idx="972">
                  <c:v>45.328940376235565</c:v>
                </c:pt>
                <c:pt idx="973">
                  <c:v>45.283351063434928</c:v>
                </c:pt>
                <c:pt idx="974">
                  <c:v>45.23785330826945</c:v>
                </c:pt>
                <c:pt idx="975">
                  <c:v>45.19244683536688</c:v>
                </c:pt>
                <c:pt idx="976">
                  <c:v>45.147131370457402</c:v>
                </c:pt>
                <c:pt idx="977">
                  <c:v>45.101906640368234</c:v>
                </c:pt>
                <c:pt idx="978">
                  <c:v>45.056772373018063</c:v>
                </c:pt>
                <c:pt idx="979">
                  <c:v>45.011728297411665</c:v>
                </c:pt>
                <c:pt idx="980">
                  <c:v>44.966774143634431</c:v>
                </c:pt>
                <c:pt idx="981">
                  <c:v>44.921909642847112</c:v>
                </c:pt>
                <c:pt idx="982">
                  <c:v>44.877134527280347</c:v>
                </c:pt>
                <c:pt idx="983">
                  <c:v>44.832448530229364</c:v>
                </c:pt>
                <c:pt idx="984">
                  <c:v>44.787851386048736</c:v>
                </c:pt>
                <c:pt idx="985">
                  <c:v>44.743342830147114</c:v>
                </c:pt>
                <c:pt idx="986">
                  <c:v>44.698922598982122</c:v>
                </c:pt>
                <c:pt idx="987">
                  <c:v>44.654590430054938</c:v>
                </c:pt>
                <c:pt idx="988">
                  <c:v>44.610346061905268</c:v>
                </c:pt>
                <c:pt idx="989">
                  <c:v>44.566189234106233</c:v>
                </c:pt>
                <c:pt idx="990">
                  <c:v>44.522119687259291</c:v>
                </c:pt>
                <c:pt idx="991">
                  <c:v>44.478137162989071</c:v>
                </c:pt>
                <c:pt idx="992">
                  <c:v>44.434241403938401</c:v>
                </c:pt>
                <c:pt idx="993">
                  <c:v>44.390432153763328</c:v>
                </c:pt>
                <c:pt idx="994">
                  <c:v>44.346709157128032</c:v>
                </c:pt>
                <c:pt idx="995">
                  <c:v>44.303072159700029</c:v>
                </c:pt>
                <c:pt idx="996">
                  <c:v>44.259520908145078</c:v>
                </c:pt>
                <c:pt idx="997">
                  <c:v>44.216055150122493</c:v>
                </c:pt>
                <c:pt idx="998">
                  <c:v>44.172674634280114</c:v>
                </c:pt>
                <c:pt idx="999">
                  <c:v>44.129379110249523</c:v>
                </c:pt>
                <c:pt idx="1000">
                  <c:v>44.086168328641264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DD-4B40-A7AC-8BE5A92E7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6356664"/>
        <c:axId val="446358304"/>
      </c:lineChart>
      <c:catAx>
        <c:axId val="446356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358304"/>
        <c:crosses val="autoZero"/>
        <c:auto val="1"/>
        <c:lblAlgn val="ctr"/>
        <c:lblOffset val="100"/>
        <c:noMultiLvlLbl val="0"/>
      </c:catAx>
      <c:valAx>
        <c:axId val="446358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356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1416491688538933"/>
          <c:y val="0.14393518518518519"/>
          <c:w val="0.74972397200349961"/>
          <c:h val="0.70841097987751533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'Lab4'!$H$6:$H$1006</c:f>
              <c:numCache>
                <c:formatCode>_-* #,##0.00\ [$zł-415]_-;\-* #,##0.00\ [$zł-415]_-;_-* "-"??\ [$zł-415]_-;_-@_-</c:formatCode>
                <c:ptCount val="1001"/>
                <c:pt idx="0">
                  <c:v>0</c:v>
                </c:pt>
                <c:pt idx="1">
                  <c:v>9069.9971029952867</c:v>
                </c:pt>
                <c:pt idx="2">
                  <c:v>18229.972816518042</c:v>
                </c:pt>
                <c:pt idx="3">
                  <c:v>27479.891614859342</c:v>
                </c:pt>
                <c:pt idx="4">
                  <c:v>36819.701817571651</c:v>
                </c:pt>
                <c:pt idx="5">
                  <c:v>46249.335625522421</c:v>
                </c:pt>
                <c:pt idx="6">
                  <c:v>55768.709167248569</c:v>
                </c:pt>
                <c:pt idx="7">
                  <c:v>65377.722555551678</c:v>
                </c:pt>
                <c:pt idx="8">
                  <c:v>75076.259954260429</c:v>
                </c:pt>
                <c:pt idx="9">
                  <c:v>84864.189655071124</c:v>
                </c:pt>
                <c:pt idx="10">
                  <c:v>94741.364164375351</c:v>
                </c:pt>
                <c:pt idx="11">
                  <c:v>104707.62029995595</c:v>
                </c:pt>
                <c:pt idx="12">
                  <c:v>114762.77929743449</c:v>
                </c:pt>
                <c:pt idx="13">
                  <c:v>124906.64692633273</c:v>
                </c:pt>
                <c:pt idx="14">
                  <c:v>135139.01361560321</c:v>
                </c:pt>
                <c:pt idx="15">
                  <c:v>145459.65458847419</c:v>
                </c:pt>
                <c:pt idx="16">
                  <c:v>155868.33000643621</c:v>
                </c:pt>
                <c:pt idx="17">
                  <c:v>166364.78512219829</c:v>
                </c:pt>
                <c:pt idx="18">
                  <c:v>176948.75044141803</c:v>
                </c:pt>
                <c:pt idx="19">
                  <c:v>187619.94189301471</c:v>
                </c:pt>
                <c:pt idx="20">
                  <c:v>198378.06100785232</c:v>
                </c:pt>
                <c:pt idx="21">
                  <c:v>209222.79510557791</c:v>
                </c:pt>
                <c:pt idx="22">
                  <c:v>220153.81748939049</c:v>
                </c:pt>
                <c:pt idx="23">
                  <c:v>231170.7876485039</c:v>
                </c:pt>
                <c:pt idx="24">
                  <c:v>242273.35146806925</c:v>
                </c:pt>
                <c:pt idx="25">
                  <c:v>253461.14144630102</c:v>
                </c:pt>
                <c:pt idx="26">
                  <c:v>264733.77691855561</c:v>
                </c:pt>
                <c:pt idx="27">
                  <c:v>276090.86428809923</c:v>
                </c:pt>
                <c:pt idx="28">
                  <c:v>287531.9972633021</c:v>
                </c:pt>
                <c:pt idx="29">
                  <c:v>299056.75710098085</c:v>
                </c:pt>
                <c:pt idx="30">
                  <c:v>310664.71285561298</c:v>
                </c:pt>
                <c:pt idx="31">
                  <c:v>322355.42163414462</c:v>
                </c:pt>
                <c:pt idx="32">
                  <c:v>334128.42885610415</c:v>
                </c:pt>
                <c:pt idx="33">
                  <c:v>345983.26851873123</c:v>
                </c:pt>
                <c:pt idx="34">
                  <c:v>357919.46346683113</c:v>
                </c:pt>
                <c:pt idx="35">
                  <c:v>369936.52566706087</c:v>
                </c:pt>
                <c:pt idx="36">
                  <c:v>382033.95648635051</c:v>
                </c:pt>
                <c:pt idx="37">
                  <c:v>394211.24697415892</c:v>
                </c:pt>
                <c:pt idx="38">
                  <c:v>406467.87814827438</c:v>
                </c:pt>
                <c:pt idx="39">
                  <c:v>418803.3212838514</c:v>
                </c:pt>
                <c:pt idx="40">
                  <c:v>431217.03820539266</c:v>
                </c:pt>
                <c:pt idx="41">
                  <c:v>443708.48158137349</c:v>
                </c:pt>
                <c:pt idx="42">
                  <c:v>456277.09522121656</c:v>
                </c:pt>
                <c:pt idx="43">
                  <c:v>468922.31437431672</c:v>
                </c:pt>
                <c:pt idx="44">
                  <c:v>481643.56603082549</c:v>
                </c:pt>
                <c:pt idx="45">
                  <c:v>494440.26922390214</c:v>
                </c:pt>
                <c:pt idx="46">
                  <c:v>507311.83533314569</c:v>
                </c:pt>
                <c:pt idx="47">
                  <c:v>520257.66838891828</c:v>
                </c:pt>
                <c:pt idx="48">
                  <c:v>533277.165377283</c:v>
                </c:pt>
                <c:pt idx="49">
                  <c:v>546369.71654527169</c:v>
                </c:pt>
                <c:pt idx="50">
                  <c:v>559534.70570622035</c:v>
                </c:pt>
                <c:pt idx="51">
                  <c:v>572771.51054488542</c:v>
                </c:pt>
                <c:pt idx="52">
                  <c:v>586079.50292209815</c:v>
                </c:pt>
                <c:pt idx="53">
                  <c:v>599458.04917867831</c:v>
                </c:pt>
                <c:pt idx="54">
                  <c:v>612906.51043836703</c:v>
                </c:pt>
                <c:pt idx="55">
                  <c:v>626424.24290952622</c:v>
                </c:pt>
                <c:pt idx="56">
                  <c:v>640010.59818536323</c:v>
                </c:pt>
                <c:pt idx="57">
                  <c:v>653664.92354244343</c:v>
                </c:pt>
                <c:pt idx="58">
                  <c:v>667386.56223726855</c:v>
                </c:pt>
                <c:pt idx="59">
                  <c:v>681174.85380068887</c:v>
                </c:pt>
                <c:pt idx="60">
                  <c:v>695029.13432994508</c:v>
                </c:pt>
                <c:pt idx="61">
                  <c:v>708948.73677811981</c:v>
                </c:pt>
                <c:pt idx="62">
                  <c:v>722932.99124080944</c:v>
                </c:pt>
                <c:pt idx="63">
                  <c:v>736981.22523981426</c:v>
                </c:pt>
                <c:pt idx="64">
                  <c:v>751092.76400366402</c:v>
                </c:pt>
                <c:pt idx="65">
                  <c:v>765266.93074480165</c:v>
                </c:pt>
                <c:pt idx="66">
                  <c:v>779503.04693325167</c:v>
                </c:pt>
                <c:pt idx="67">
                  <c:v>793800.4325666111</c:v>
                </c:pt>
                <c:pt idx="68">
                  <c:v>808158.40643620794</c:v>
                </c:pt>
                <c:pt idx="69">
                  <c:v>822576.28638928081</c:v>
                </c:pt>
                <c:pt idx="70">
                  <c:v>837053.38958703587</c:v>
                </c:pt>
                <c:pt idx="71">
                  <c:v>851589.03275845386</c:v>
                </c:pt>
                <c:pt idx="72">
                  <c:v>866182.53244972322</c:v>
                </c:pt>
                <c:pt idx="73">
                  <c:v>880833.20526917465</c:v>
                </c:pt>
                <c:pt idx="74">
                  <c:v>895540.36812762357</c:v>
                </c:pt>
                <c:pt idx="75">
                  <c:v>910303.3384740029</c:v>
                </c:pt>
                <c:pt idx="76">
                  <c:v>925121.43452621019</c:v>
                </c:pt>
                <c:pt idx="77">
                  <c:v>939993.97549706558</c:v>
                </c:pt>
                <c:pt idx="78">
                  <c:v>954920.28181532049</c:v>
                </c:pt>
                <c:pt idx="79">
                  <c:v>969899.67534163315</c:v>
                </c:pt>
                <c:pt idx="80">
                  <c:v>984931.47957945266</c:v>
                </c:pt>
                <c:pt idx="81">
                  <c:v>1000015.0198807556</c:v>
                </c:pt>
                <c:pt idx="82">
                  <c:v>1015149.6236465897</c:v>
                </c:pt>
                <c:pt idx="83">
                  <c:v>1030334.6205223713</c:v>
                </c:pt>
                <c:pt idx="84">
                  <c:v>1045569.3425879159</c:v>
                </c:pt>
                <c:pt idx="85">
                  <c:v>1060853.1245421607</c:v>
                </c:pt>
                <c:pt idx="86">
                  <c:v>1076185.3038825656</c:v>
                </c:pt>
                <c:pt idx="87">
                  <c:v>1091565.2210791726</c:v>
                </c:pt>
                <c:pt idx="88">
                  <c:v>1106992.2197433121</c:v>
                </c:pt>
                <c:pt idx="89">
                  <c:v>1122465.646790958</c:v>
                </c:pt>
                <c:pt idx="90">
                  <c:v>1137984.8526007305</c:v>
                </c:pt>
                <c:pt idx="91">
                  <c:v>1153549.1911665527</c:v>
                </c:pt>
                <c:pt idx="92">
                  <c:v>1169158.0202449756</c:v>
                </c:pt>
                <c:pt idx="93">
                  <c:v>1184810.7014971948</c:v>
                </c:pt>
                <c:pt idx="94">
                  <c:v>1200506.6006257713</c:v>
                </c:pt>
                <c:pt idx="95">
                  <c:v>1216245.0875060961</c:v>
                </c:pt>
                <c:pt idx="96">
                  <c:v>1232025.5363126229</c:v>
                </c:pt>
                <c:pt idx="97">
                  <c:v>1247847.3256399166</c:v>
                </c:pt>
                <c:pt idx="98">
                  <c:v>1263709.8386185451</c:v>
                </c:pt>
                <c:pt idx="99">
                  <c:v>1279612.4630258738</c:v>
                </c:pt>
                <c:pt idx="100">
                  <c:v>1295554.5913918053</c:v>
                </c:pt>
                <c:pt idx="101">
                  <c:v>1311535.6210995207</c:v>
                </c:pt>
                <c:pt idx="102">
                  <c:v>1327554.9544812748</c:v>
                </c:pt>
                <c:pt idx="103">
                  <c:v>1343611.9989093165</c:v>
                </c:pt>
                <c:pt idx="104">
                  <c:v>1359706.1668819794</c:v>
                </c:pt>
                <c:pt idx="105">
                  <c:v>1375836.876105034</c:v>
                </c:pt>
                <c:pt idx="106">
                  <c:v>1392003.549568343</c:v>
                </c:pt>
                <c:pt idx="107">
                  <c:v>1408205.6156179151</c:v>
                </c:pt>
                <c:pt idx="108">
                  <c:v>1424442.5080234173</c:v>
                </c:pt>
                <c:pt idx="109">
                  <c:v>1440713.6660412275</c:v>
                </c:pt>
                <c:pt idx="110">
                  <c:v>1457018.5344731035</c:v>
                </c:pt>
                <c:pt idx="111">
                  <c:v>1473356.5637205492</c:v>
                </c:pt>
                <c:pt idx="112">
                  <c:v>1489727.2098349656</c:v>
                </c:pt>
                <c:pt idx="113">
                  <c:v>1506129.9345636559</c:v>
                </c:pt>
                <c:pt idx="114">
                  <c:v>1522564.2053917875</c:v>
                </c:pt>
                <c:pt idx="115">
                  <c:v>1539029.4955803836</c:v>
                </c:pt>
                <c:pt idx="116">
                  <c:v>1555525.2842004355</c:v>
                </c:pt>
                <c:pt idx="117">
                  <c:v>1572051.0561632258</c:v>
                </c:pt>
                <c:pt idx="118">
                  <c:v>1588606.302246952</c:v>
                </c:pt>
                <c:pt idx="119">
                  <c:v>1605190.5191197312</c:v>
                </c:pt>
                <c:pt idx="120">
                  <c:v>1621803.2093590898</c:v>
                </c:pt>
                <c:pt idx="121">
                  <c:v>1638443.8814680157</c:v>
                </c:pt>
                <c:pt idx="122">
                  <c:v>1655112.0498876753</c:v>
                </c:pt>
                <c:pt idx="123">
                  <c:v>1671807.2350068702</c:v>
                </c:pt>
                <c:pt idx="124">
                  <c:v>1688528.9631683463</c:v>
                </c:pt>
                <c:pt idx="125">
                  <c:v>1705276.7666720245</c:v>
                </c:pt>
                <c:pt idx="126">
                  <c:v>1722050.1837752569</c:v>
                </c:pt>
                <c:pt idx="127">
                  <c:v>1738848.7586901928</c:v>
                </c:pt>
                <c:pt idx="128">
                  <c:v>1755672.0415783501</c:v>
                </c:pt>
                <c:pt idx="129">
                  <c:v>1772519.5885424735</c:v>
                </c:pt>
                <c:pt idx="130">
                  <c:v>1789390.961615772</c:v>
                </c:pt>
                <c:pt idx="131">
                  <c:v>1806285.7287486275</c:v>
                </c:pt>
                <c:pt idx="132">
                  <c:v>1823203.4637928582</c:v>
                </c:pt>
                <c:pt idx="133">
                  <c:v>1840143.7464836198</c:v>
                </c:pt>
                <c:pt idx="134">
                  <c:v>1857106.1624190365</c:v>
                </c:pt>
                <c:pt idx="135">
                  <c:v>1874090.3030376472</c:v>
                </c:pt>
                <c:pt idx="136">
                  <c:v>1891095.7655937397</c:v>
                </c:pt>
                <c:pt idx="137">
                  <c:v>1908122.1531306719</c:v>
                </c:pt>
                <c:pt idx="138">
                  <c:v>1925169.0744522489</c:v>
                </c:pt>
                <c:pt idx="139">
                  <c:v>1942236.1440922399</c:v>
                </c:pt>
                <c:pt idx="140">
                  <c:v>1959322.9822821147</c:v>
                </c:pt>
                <c:pt idx="141">
                  <c:v>1976429.2149170828</c:v>
                </c:pt>
                <c:pt idx="142">
                  <c:v>1993554.4735205011</c:v>
                </c:pt>
                <c:pt idx="143">
                  <c:v>2010698.3952067317</c:v>
                </c:pt>
                <c:pt idx="144">
                  <c:v>2027860.6226425264</c:v>
                </c:pt>
                <c:pt idx="145">
                  <c:v>2045040.8040070059</c:v>
                </c:pt>
                <c:pt idx="146">
                  <c:v>2062238.5929503054</c:v>
                </c:pt>
                <c:pt idx="147">
                  <c:v>2079453.6485509584</c:v>
                </c:pt>
                <c:pt idx="148">
                  <c:v>2096685.6352720866</c:v>
                </c:pt>
                <c:pt idx="149">
                  <c:v>2113934.2229164592</c:v>
                </c:pt>
                <c:pt idx="150">
                  <c:v>2131199.0865804935</c:v>
                </c:pt>
                <c:pt idx="151">
                  <c:v>2148479.9066072544</c:v>
                </c:pt>
                <c:pt idx="152">
                  <c:v>2165776.3685385184</c:v>
                </c:pt>
                <c:pt idx="153">
                  <c:v>2183088.163065963</c:v>
                </c:pt>
                <c:pt idx="154">
                  <c:v>2200414.9859815394</c:v>
                </c:pt>
                <c:pt idx="155">
                  <c:v>2217756.5381270871</c:v>
                </c:pt>
                <c:pt idx="156">
                  <c:v>2235112.5253432477</c:v>
                </c:pt>
                <c:pt idx="157">
                  <c:v>2252482.6584177301</c:v>
                </c:pt>
                <c:pt idx="158">
                  <c:v>2269866.6530329813</c:v>
                </c:pt>
                <c:pt idx="159">
                  <c:v>2287264.2297133231</c:v>
                </c:pt>
                <c:pt idx="160">
                  <c:v>2304675.1137715834</c:v>
                </c:pt>
                <c:pt idx="161">
                  <c:v>2322099.0352552989</c:v>
                </c:pt>
                <c:pt idx="162">
                  <c:v>2339535.7288925112</c:v>
                </c:pt>
                <c:pt idx="163">
                  <c:v>2356984.9340372249</c:v>
                </c:pt>
                <c:pt idx="164">
                  <c:v>2374446.3946145466</c:v>
                </c:pt>
                <c:pt idx="165">
                  <c:v>2391919.8590655793</c:v>
                </c:pt>
                <c:pt idx="166">
                  <c:v>2409405.0802920791</c:v>
                </c:pt>
                <c:pt idx="167">
                  <c:v>2426901.8156009442</c:v>
                </c:pt>
                <c:pt idx="168">
                  <c:v>2444409.8266485599</c:v>
                </c:pt>
                <c:pt idx="169">
                  <c:v>2461928.8793850355</c:v>
                </c:pt>
                <c:pt idx="170">
                  <c:v>2479458.7439983794</c:v>
                </c:pt>
                <c:pt idx="171">
                  <c:v>2496999.1948586404</c:v>
                </c:pt>
                <c:pt idx="172">
                  <c:v>2514550.0104620447</c:v>
                </c:pt>
                <c:pt idx="173">
                  <c:v>2532110.9733751742</c:v>
                </c:pt>
                <c:pt idx="174">
                  <c:v>2549681.8701792024</c:v>
                </c:pt>
                <c:pt idx="175">
                  <c:v>2567262.4914142285</c:v>
                </c:pt>
                <c:pt idx="176">
                  <c:v>2584852.6315237321</c:v>
                </c:pt>
                <c:pt idx="177">
                  <c:v>2602452.0887991739</c:v>
                </c:pt>
                <c:pt idx="178">
                  <c:v>2620060.6653247811</c:v>
                </c:pt>
                <c:pt idx="179">
                  <c:v>2637678.1669225288</c:v>
                </c:pt>
                <c:pt idx="180">
                  <c:v>2655304.4030973427</c:v>
                </c:pt>
                <c:pt idx="181">
                  <c:v>2672939.186982559</c:v>
                </c:pt>
                <c:pt idx="182">
                  <c:v>2690582.335285644</c:v>
                </c:pt>
                <c:pt idx="183">
                  <c:v>2708233.6682342133</c:v>
                </c:pt>
                <c:pt idx="184">
                  <c:v>2725893.0095223528</c:v>
                </c:pt>
                <c:pt idx="185">
                  <c:v>2743560.1862572776</c:v>
                </c:pt>
                <c:pt idx="186">
                  <c:v>2761235.0289063258</c:v>
                </c:pt>
                <c:pt idx="187">
                  <c:v>2778917.3712443295</c:v>
                </c:pt>
                <c:pt idx="188">
                  <c:v>2796607.0503013581</c:v>
                </c:pt>
                <c:pt idx="189">
                  <c:v>2814303.9063108512</c:v>
                </c:pt>
                <c:pt idx="190">
                  <c:v>2832007.7826581723</c:v>
                </c:pt>
                <c:pt idx="191">
                  <c:v>2849718.5258295699</c:v>
                </c:pt>
                <c:pt idx="192">
                  <c:v>2867435.9853615952</c:v>
                </c:pt>
                <c:pt idx="193">
                  <c:v>2885160.0137909353</c:v>
                </c:pt>
                <c:pt idx="194">
                  <c:v>2902890.4666047306</c:v>
                </c:pt>
                <c:pt idx="195">
                  <c:v>2920627.2021913505</c:v>
                </c:pt>
                <c:pt idx="196">
                  <c:v>2938370.0817916356</c:v>
                </c:pt>
                <c:pt idx="197">
                  <c:v>2956118.9694506451</c:v>
                </c:pt>
                <c:pt idx="198">
                  <c:v>2973873.7319698827</c:v>
                </c:pt>
                <c:pt idx="199">
                  <c:v>2991634.2388600269</c:v>
                </c:pt>
                <c:pt idx="200">
                  <c:v>3009400.3622941729</c:v>
                </c:pt>
                <c:pt idx="201">
                  <c:v>3027171.9770615897</c:v>
                </c:pt>
                <c:pt idx="202">
                  <c:v>3044948.9605219853</c:v>
                </c:pt>
                <c:pt idx="203">
                  <c:v>3062731.1925603142</c:v>
                </c:pt>
                <c:pt idx="204">
                  <c:v>3080518.5555420974</c:v>
                </c:pt>
                <c:pt idx="205">
                  <c:v>3098310.9342692904</c:v>
                </c:pt>
                <c:pt idx="206">
                  <c:v>3116108.2159366724</c:v>
                </c:pt>
                <c:pt idx="207">
                  <c:v>3133910.2900887863</c:v>
                </c:pt>
                <c:pt idx="208">
                  <c:v>3151717.0485774209</c:v>
                </c:pt>
                <c:pt idx="209">
                  <c:v>3169528.3855196247</c:v>
                </c:pt>
                <c:pt idx="210">
                  <c:v>3187344.197256281</c:v>
                </c:pt>
                <c:pt idx="211">
                  <c:v>3205164.3823112175</c:v>
                </c:pt>
                <c:pt idx="212">
                  <c:v>3222988.8413508707</c:v>
                </c:pt>
                <c:pt idx="213">
                  <c:v>3240817.4771444923</c:v>
                </c:pt>
                <c:pt idx="214">
                  <c:v>3258650.1945249094</c:v>
                </c:pt>
                <c:pt idx="215">
                  <c:v>3276486.9003498228</c:v>
                </c:pt>
                <c:pt idx="216">
                  <c:v>3294327.5034636622</c:v>
                </c:pt>
                <c:pt idx="217">
                  <c:v>3312171.9146599839</c:v>
                </c:pt>
                <c:pt idx="218">
                  <c:v>3330020.0466444045</c:v>
                </c:pt>
                <c:pt idx="219">
                  <c:v>3347871.8139980873</c:v>
                </c:pt>
                <c:pt idx="220">
                  <c:v>3365727.1331417663</c:v>
                </c:pt>
                <c:pt idx="221">
                  <c:v>3383585.9223003057</c:v>
                </c:pt>
                <c:pt idx="222">
                  <c:v>3401448.101467798</c:v>
                </c:pt>
                <c:pt idx="223">
                  <c:v>3419313.5923731965</c:v>
                </c:pt>
                <c:pt idx="224">
                  <c:v>3437182.3184464746</c:v>
                </c:pt>
                <c:pt idx="225">
                  <c:v>3455054.2047853158</c:v>
                </c:pt>
                <c:pt idx="226">
                  <c:v>3472929.1781223249</c:v>
                </c:pt>
                <c:pt idx="227">
                  <c:v>3490807.1667927615</c:v>
                </c:pt>
                <c:pt idx="228">
                  <c:v>3508688.1007027929</c:v>
                </c:pt>
                <c:pt idx="229">
                  <c:v>3526571.9112982526</c:v>
                </c:pt>
                <c:pt idx="230">
                  <c:v>3544458.5315339123</c:v>
                </c:pt>
                <c:pt idx="231">
                  <c:v>3562347.8958432619</c:v>
                </c:pt>
                <c:pt idx="232">
                  <c:v>3580239.9401087845</c:v>
                </c:pt>
                <c:pt idx="233">
                  <c:v>3598134.6016327254</c:v>
                </c:pt>
                <c:pt idx="234">
                  <c:v>3616031.8191083632</c:v>
                </c:pt>
                <c:pt idx="235">
                  <c:v>3633931.5325917555</c:v>
                </c:pt>
                <c:pt idx="236">
                  <c:v>3651833.6834739773</c:v>
                </c:pt>
                <c:pt idx="237">
                  <c:v>3669738.214453822</c:v>
                </c:pt>
                <c:pt idx="238">
                  <c:v>3687645.0695109954</c:v>
                </c:pt>
                <c:pt idx="239">
                  <c:v>3705554.1938797561</c:v>
                </c:pt>
                <c:pt idx="240">
                  <c:v>3723465.5340230297</c:v>
                </c:pt>
                <c:pt idx="241">
                  <c:v>3741379.0376069779</c:v>
                </c:pt>
                <c:pt idx="242">
                  <c:v>3759294.6534760194</c:v>
                </c:pt>
                <c:pt idx="243">
                  <c:v>3777212.3316282928</c:v>
                </c:pt>
                <c:pt idx="244">
                  <c:v>3795132.0231915629</c:v>
                </c:pt>
                <c:pt idx="245">
                  <c:v>3813053.6803995706</c:v>
                </c:pt>
                <c:pt idx="246">
                  <c:v>3830977.2565687951</c:v>
                </c:pt>
                <c:pt idx="247">
                  <c:v>3848902.706075659</c:v>
                </c:pt>
                <c:pt idx="248">
                  <c:v>3866829.9843341438</c:v>
                </c:pt>
                <c:pt idx="249">
                  <c:v>3884759.0477738176</c:v>
                </c:pt>
                <c:pt idx="250">
                  <c:v>3902689.8538182741</c:v>
                </c:pt>
                <c:pt idx="251">
                  <c:v>3920622.3608639752</c:v>
                </c:pt>
                <c:pt idx="252">
                  <c:v>3938556.5282594897</c:v>
                </c:pt>
                <c:pt idx="253">
                  <c:v>3956492.3162851194</c:v>
                </c:pt>
                <c:pt idx="254">
                  <c:v>3974429.6861329228</c:v>
                </c:pt>
                <c:pt idx="255">
                  <c:v>3992368.5998871028</c:v>
                </c:pt>
                <c:pt idx="256">
                  <c:v>4010309.0205047829</c:v>
                </c:pt>
                <c:pt idx="257">
                  <c:v>4028250.9117971528</c:v>
                </c:pt>
                <c:pt idx="258">
                  <c:v>4046194.2384109618</c:v>
                </c:pt>
                <c:pt idx="259">
                  <c:v>4064138.965810393</c:v>
                </c:pt>
                <c:pt idx="260">
                  <c:v>4082085.0602592826</c:v>
                </c:pt>
                <c:pt idx="261">
                  <c:v>4100032.4888036717</c:v>
                </c:pt>
                <c:pt idx="262">
                  <c:v>4117981.2192547238</c:v>
                </c:pt>
                <c:pt idx="263">
                  <c:v>4135931.2201719722</c:v>
                </c:pt>
                <c:pt idx="264">
                  <c:v>4153882.4608468805</c:v>
                </c:pt>
                <c:pt idx="265">
                  <c:v>4171834.911286762</c:v>
                </c:pt>
                <c:pt idx="266">
                  <c:v>4189788.5421989933</c:v>
                </c:pt>
                <c:pt idx="267">
                  <c:v>4207743.3249755558</c:v>
                </c:pt>
                <c:pt idx="268">
                  <c:v>4225699.2316778833</c:v>
                </c:pt>
                <c:pt idx="269">
                  <c:v>4243656.2350220261</c:v>
                </c:pt>
                <c:pt idx="270">
                  <c:v>4261614.308364097</c:v>
                </c:pt>
                <c:pt idx="271">
                  <c:v>4279573.4256860223</c:v>
                </c:pt>
                <c:pt idx="272">
                  <c:v>4297533.5615815939</c:v>
                </c:pt>
                <c:pt idx="273">
                  <c:v>4315494.691242788</c:v>
                </c:pt>
                <c:pt idx="274">
                  <c:v>4333456.7904463727</c:v>
                </c:pt>
                <c:pt idx="275">
                  <c:v>4351419.8355407976</c:v>
                </c:pt>
                <c:pt idx="276">
                  <c:v>4369383.803433341</c:v>
                </c:pt>
                <c:pt idx="277">
                  <c:v>4387348.6715775337</c:v>
                </c:pt>
                <c:pt idx="278">
                  <c:v>4405314.4179608431</c:v>
                </c:pt>
                <c:pt idx="279">
                  <c:v>4423281.0210926058</c:v>
                </c:pt>
                <c:pt idx="280">
                  <c:v>4441248.4599922216</c:v>
                </c:pt>
                <c:pt idx="281">
                  <c:v>4459216.7141775936</c:v>
                </c:pt>
                <c:pt idx="282">
                  <c:v>4477185.7636538045</c:v>
                </c:pt>
                <c:pt idx="283">
                  <c:v>4495155.5889020432</c:v>
                </c:pt>
                <c:pt idx="284">
                  <c:v>4513126.1708687535</c:v>
                </c:pt>
                <c:pt idx="285">
                  <c:v>4531097.4909550166</c:v>
                </c:pt>
                <c:pt idx="286">
                  <c:v>4549069.5310061714</c:v>
                </c:pt>
                <c:pt idx="287">
                  <c:v>4567042.2733016359</c:v>
                </c:pt>
                <c:pt idx="288">
                  <c:v>4585015.7005449561</c:v>
                </c:pt>
                <c:pt idx="289">
                  <c:v>4602989.7958540749</c:v>
                </c:pt>
                <c:pt idx="290">
                  <c:v>4620964.5427518012</c:v>
                </c:pt>
                <c:pt idx="291">
                  <c:v>4638939.9251564788</c:v>
                </c:pt>
                <c:pt idx="292">
                  <c:v>4656915.9273728766</c:v>
                </c:pt>
                <c:pt idx="293">
                  <c:v>4674892.534083249</c:v>
                </c:pt>
                <c:pt idx="294">
                  <c:v>4692869.7303386228</c:v>
                </c:pt>
                <c:pt idx="295">
                  <c:v>4710847.5015502339</c:v>
                </c:pt>
                <c:pt idx="296">
                  <c:v>4728825.8334811945</c:v>
                </c:pt>
                <c:pt idx="297">
                  <c:v>4746804.7122383043</c:v>
                </c:pt>
                <c:pt idx="298">
                  <c:v>4764784.1242640605</c:v>
                </c:pt>
                <c:pt idx="299">
                  <c:v>4782764.0563288452</c:v>
                </c:pt>
                <c:pt idx="300">
                  <c:v>4800744.4955232712</c:v>
                </c:pt>
                <c:pt idx="301">
                  <c:v>4818725.4292507088</c:v>
                </c:pt>
                <c:pt idx="302">
                  <c:v>4836706.8452199697</c:v>
                </c:pt>
                <c:pt idx="303">
                  <c:v>4854688.7314381581</c:v>
                </c:pt>
                <c:pt idx="304">
                  <c:v>4872671.0762036806</c:v>
                </c:pt>
                <c:pt idx="305">
                  <c:v>4890653.8680994008</c:v>
                </c:pt>
                <c:pt idx="306">
                  <c:v>4908637.0959859649</c:v>
                </c:pt>
                <c:pt idx="307">
                  <c:v>4926620.7489952575</c:v>
                </c:pt>
                <c:pt idx="308">
                  <c:v>4944604.8165240148</c:v>
                </c:pt>
                <c:pt idx="309">
                  <c:v>4962589.2882275786</c:v>
                </c:pt>
                <c:pt idx="310">
                  <c:v>4980574.1540137911</c:v>
                </c:pt>
                <c:pt idx="311">
                  <c:v>4998559.4040370211</c:v>
                </c:pt>
                <c:pt idx="312">
                  <c:v>5016545.028692333</c:v>
                </c:pt>
                <c:pt idx="313">
                  <c:v>5034531.0186097808</c:v>
                </c:pt>
                <c:pt idx="314">
                  <c:v>5052517.3646488395</c:v>
                </c:pt>
                <c:pt idx="315">
                  <c:v>5070504.0578929465</c:v>
                </c:pt>
                <c:pt idx="316">
                  <c:v>5088491.0896441871</c:v>
                </c:pt>
                <c:pt idx="317">
                  <c:v>5106478.451418086</c:v>
                </c:pt>
                <c:pt idx="318">
                  <c:v>5124466.1349385204</c:v>
                </c:pt>
                <c:pt idx="319">
                  <c:v>5142454.1321327575</c:v>
                </c:pt>
                <c:pt idx="320">
                  <c:v>5160442.4351265887</c:v>
                </c:pt>
                <c:pt idx="321">
                  <c:v>5178431.0362395933</c:v>
                </c:pt>
                <c:pt idx="322">
                  <c:v>5196419.9279804965</c:v>
                </c:pt>
                <c:pt idx="323">
                  <c:v>5214409.1030426426</c:v>
                </c:pt>
                <c:pt idx="324">
                  <c:v>5232398.554299566</c:v>
                </c:pt>
                <c:pt idx="325">
                  <c:v>5250388.274800675</c:v>
                </c:pt>
                <c:pt idx="326">
                  <c:v>5268378.2577670151</c:v>
                </c:pt>
                <c:pt idx="327">
                  <c:v>5286368.4965871507</c:v>
                </c:pt>
                <c:pt idx="328">
                  <c:v>5304358.9848131333</c:v>
                </c:pt>
                <c:pt idx="329">
                  <c:v>5322349.7161565581</c:v>
                </c:pt>
                <c:pt idx="330">
                  <c:v>5340340.6844847212</c:v>
                </c:pt>
                <c:pt idx="331">
                  <c:v>5358331.8838168625</c:v>
                </c:pt>
                <c:pt idx="332">
                  <c:v>5376323.3083204906</c:v>
                </c:pt>
                <c:pt idx="333">
                  <c:v>5394314.9523078036</c:v>
                </c:pt>
                <c:pt idx="334">
                  <c:v>5412306.8102321848</c:v>
                </c:pt>
                <c:pt idx="335">
                  <c:v>5430298.8766847812</c:v>
                </c:pt>
                <c:pt idx="336">
                  <c:v>5448291.1463911636</c:v>
                </c:pt>
                <c:pt idx="337">
                  <c:v>5466283.6142080743</c:v>
                </c:pt>
                <c:pt idx="338">
                  <c:v>5484276.2751202257</c:v>
                </c:pt>
                <c:pt idx="339">
                  <c:v>5502269.1242372058</c:v>
                </c:pt>
                <c:pt idx="340">
                  <c:v>5520262.1567904297</c:v>
                </c:pt>
                <c:pt idx="341">
                  <c:v>5538255.3681301773</c:v>
                </c:pt>
                <c:pt idx="342">
                  <c:v>5556248.7537226984</c:v>
                </c:pt>
                <c:pt idx="343">
                  <c:v>5574242.3091473831</c:v>
                </c:pt>
                <c:pt idx="344">
                  <c:v>5592236.0300939996</c:v>
                </c:pt>
                <c:pt idx="345">
                  <c:v>5610229.912360006</c:v>
                </c:pt>
                <c:pt idx="346">
                  <c:v>5628223.9518479025</c:v>
                </c:pt>
                <c:pt idx="347">
                  <c:v>5646218.1445626756</c:v>
                </c:pt>
                <c:pt idx="348">
                  <c:v>5664212.4866092876</c:v>
                </c:pt>
                <c:pt idx="349">
                  <c:v>5682206.9741902174</c:v>
                </c:pt>
                <c:pt idx="350">
                  <c:v>5700201.6036030808</c:v>
                </c:pt>
                <c:pt idx="351">
                  <c:v>5718196.3712382922</c:v>
                </c:pt>
                <c:pt idx="352">
                  <c:v>5736191.2735767839</c:v>
                </c:pt>
                <c:pt idx="353">
                  <c:v>5754186.3071877807</c:v>
                </c:pt>
                <c:pt idx="354">
                  <c:v>5772181.4687266387</c:v>
                </c:pt>
                <c:pt idx="355">
                  <c:v>5790176.754932709</c:v>
                </c:pt>
                <c:pt idx="356">
                  <c:v>5808172.1626272872</c:v>
                </c:pt>
                <c:pt idx="357">
                  <c:v>5826167.6887115836</c:v>
                </c:pt>
                <c:pt idx="358">
                  <c:v>5844163.3301647501</c:v>
                </c:pt>
                <c:pt idx="359">
                  <c:v>5862159.0840419652</c:v>
                </c:pt>
                <c:pt idx="360">
                  <c:v>5880154.9474725537</c:v>
                </c:pt>
                <c:pt idx="361">
                  <c:v>5898150.9176581511</c:v>
                </c:pt>
                <c:pt idx="362">
                  <c:v>5916146.9918709202</c:v>
                </c:pt>
                <c:pt idx="363">
                  <c:v>5934143.1674518017</c:v>
                </c:pt>
                <c:pt idx="364">
                  <c:v>5952139.441808817</c:v>
                </c:pt>
                <c:pt idx="365">
                  <c:v>5970135.8124154005</c:v>
                </c:pt>
                <c:pt idx="366">
                  <c:v>5988132.2768087825</c:v>
                </c:pt>
                <c:pt idx="367">
                  <c:v>6006128.8325884016</c:v>
                </c:pt>
                <c:pt idx="368">
                  <c:v>6024125.4774143668</c:v>
                </c:pt>
                <c:pt idx="369">
                  <c:v>6042122.2090059444</c:v>
                </c:pt>
                <c:pt idx="370">
                  <c:v>6060119.0251400936</c:v>
                </c:pt>
                <c:pt idx="371">
                  <c:v>6078115.9236500291</c:v>
                </c:pt>
                <c:pt idx="372">
                  <c:v>6096112.9024238186</c:v>
                </c:pt>
                <c:pt idx="373">
                  <c:v>6114109.9594030222</c:v>
                </c:pt>
                <c:pt idx="374">
                  <c:v>6132107.0925813559</c:v>
                </c:pt>
                <c:pt idx="375">
                  <c:v>6150104.3000033936</c:v>
                </c:pt>
                <c:pt idx="376">
                  <c:v>6168101.5797632998</c:v>
                </c:pt>
                <c:pt idx="377">
                  <c:v>6186098.930003589</c:v>
                </c:pt>
                <c:pt idx="378">
                  <c:v>6204096.3489139164</c:v>
                </c:pt>
                <c:pt idx="379">
                  <c:v>6222093.834729909</c:v>
                </c:pt>
                <c:pt idx="380">
                  <c:v>6240091.38573201</c:v>
                </c:pt>
                <c:pt idx="381">
                  <c:v>6258089.0002443567</c:v>
                </c:pt>
                <c:pt idx="382">
                  <c:v>6276086.6766336877</c:v>
                </c:pt>
                <c:pt idx="383">
                  <c:v>6294084.4133082852</c:v>
                </c:pt>
                <c:pt idx="384">
                  <c:v>6312082.2087169159</c:v>
                </c:pt>
                <c:pt idx="385">
                  <c:v>6330080.0613478385</c:v>
                </c:pt>
                <c:pt idx="386">
                  <c:v>6348077.9697277946</c:v>
                </c:pt>
                <c:pt idx="387">
                  <c:v>6366075.932421051</c:v>
                </c:pt>
                <c:pt idx="388">
                  <c:v>6384073.9480284629</c:v>
                </c:pt>
                <c:pt idx="389">
                  <c:v>6402072.0151865436</c:v>
                </c:pt>
                <c:pt idx="390">
                  <c:v>6420070.132566574</c:v>
                </c:pt>
                <c:pt idx="391">
                  <c:v>6438068.2988737328</c:v>
                </c:pt>
                <c:pt idx="392">
                  <c:v>6456066.5128462361</c:v>
                </c:pt>
                <c:pt idx="393">
                  <c:v>6474064.7732545109</c:v>
                </c:pt>
                <c:pt idx="394">
                  <c:v>6492063.078900381</c:v>
                </c:pt>
                <c:pt idx="395">
                  <c:v>6510061.4286162825</c:v>
                </c:pt>
                <c:pt idx="396">
                  <c:v>6528059.8212644793</c:v>
                </c:pt>
                <c:pt idx="397">
                  <c:v>6546058.2557363231</c:v>
                </c:pt>
                <c:pt idx="398">
                  <c:v>6564056.7309515215</c:v>
                </c:pt>
                <c:pt idx="399">
                  <c:v>6582055.2458574064</c:v>
                </c:pt>
                <c:pt idx="400">
                  <c:v>6600053.7994282516</c:v>
                </c:pt>
                <c:pt idx="401">
                  <c:v>6618052.3906645896</c:v>
                </c:pt>
                <c:pt idx="402">
                  <c:v>6636051.0185925374</c:v>
                </c:pt>
                <c:pt idx="403">
                  <c:v>6654049.6822631676</c:v>
                </c:pt>
                <c:pt idx="404">
                  <c:v>6672048.3807518603</c:v>
                </c:pt>
                <c:pt idx="405">
                  <c:v>6690047.113157697</c:v>
                </c:pt>
                <c:pt idx="406">
                  <c:v>6708045.8786028549</c:v>
                </c:pt>
                <c:pt idx="407">
                  <c:v>6726044.6762320362</c:v>
                </c:pt>
                <c:pt idx="408">
                  <c:v>6744043.5052118739</c:v>
                </c:pt>
                <c:pt idx="409">
                  <c:v>6762042.3647303963</c:v>
                </c:pt>
                <c:pt idx="410">
                  <c:v>6780041.2539964728</c:v>
                </c:pt>
                <c:pt idx="411">
                  <c:v>6798040.1722392887</c:v>
                </c:pt>
                <c:pt idx="412">
                  <c:v>6816039.1187078338</c:v>
                </c:pt>
                <c:pt idx="413">
                  <c:v>6834038.0926703913</c:v>
                </c:pt>
                <c:pt idx="414">
                  <c:v>6852037.0934140533</c:v>
                </c:pt>
                <c:pt idx="415">
                  <c:v>6870036.1202442432</c:v>
                </c:pt>
                <c:pt idx="416">
                  <c:v>6888035.1724842433</c:v>
                </c:pt>
                <c:pt idx="417">
                  <c:v>6906034.249474748</c:v>
                </c:pt>
                <c:pt idx="418">
                  <c:v>6924033.3505734215</c:v>
                </c:pt>
                <c:pt idx="419">
                  <c:v>6942032.4751544539</c:v>
                </c:pt>
                <c:pt idx="420">
                  <c:v>6960031.6226081569</c:v>
                </c:pt>
                <c:pt idx="421">
                  <c:v>6978030.7923405403</c:v>
                </c:pt>
                <c:pt idx="422">
                  <c:v>6996029.9837729167</c:v>
                </c:pt>
                <c:pt idx="423">
                  <c:v>7014029.1963415127</c:v>
                </c:pt>
                <c:pt idx="424">
                  <c:v>7032028.4294970911</c:v>
                </c:pt>
                <c:pt idx="425">
                  <c:v>7050027.6827045679</c:v>
                </c:pt>
                <c:pt idx="426">
                  <c:v>7068026.9554426661</c:v>
                </c:pt>
                <c:pt idx="427">
                  <c:v>7086026.247203555</c:v>
                </c:pt>
                <c:pt idx="428">
                  <c:v>7104025.5574925076</c:v>
                </c:pt>
                <c:pt idx="429">
                  <c:v>7122024.8858275656</c:v>
                </c:pt>
                <c:pt idx="430">
                  <c:v>7140024.2317392193</c:v>
                </c:pt>
                <c:pt idx="431">
                  <c:v>7158023.5947700767</c:v>
                </c:pt>
                <c:pt idx="432">
                  <c:v>7176022.974474567</c:v>
                </c:pt>
                <c:pt idx="433">
                  <c:v>7194022.3704186324</c:v>
                </c:pt>
                <c:pt idx="434">
                  <c:v>7212021.7821794255</c:v>
                </c:pt>
                <c:pt idx="435">
                  <c:v>7230021.2093450427</c:v>
                </c:pt>
                <c:pt idx="436">
                  <c:v>7248020.6515142219</c:v>
                </c:pt>
                <c:pt idx="437">
                  <c:v>7266020.1082960796</c:v>
                </c:pt>
                <c:pt idx="438">
                  <c:v>7284019.5793098528</c:v>
                </c:pt>
                <c:pt idx="439">
                  <c:v>7302019.0641846247</c:v>
                </c:pt>
                <c:pt idx="440">
                  <c:v>7320018.5625590794</c:v>
                </c:pt>
                <c:pt idx="441">
                  <c:v>7338018.0740812561</c:v>
                </c:pt>
                <c:pt idx="442">
                  <c:v>7356017.5984083135</c:v>
                </c:pt>
                <c:pt idx="443">
                  <c:v>7374017.1352062803</c:v>
                </c:pt>
                <c:pt idx="444">
                  <c:v>7392016.6841498483</c:v>
                </c:pt>
                <c:pt idx="445">
                  <c:v>7410016.2449221332</c:v>
                </c:pt>
                <c:pt idx="446">
                  <c:v>7428015.8172144638</c:v>
                </c:pt>
                <c:pt idx="447">
                  <c:v>7446015.400726174</c:v>
                </c:pt>
                <c:pt idx="448">
                  <c:v>7464014.9951643962</c:v>
                </c:pt>
                <c:pt idx="449">
                  <c:v>7482014.6002438543</c:v>
                </c:pt>
                <c:pt idx="450">
                  <c:v>7500014.2156866761</c:v>
                </c:pt>
                <c:pt idx="451">
                  <c:v>7518013.8412222043</c:v>
                </c:pt>
                <c:pt idx="452">
                  <c:v>7536013.4765867954</c:v>
                </c:pt>
                <c:pt idx="453">
                  <c:v>7554013.1215236578</c:v>
                </c:pt>
                <c:pt idx="454">
                  <c:v>7572012.7757826699</c:v>
                </c:pt>
                <c:pt idx="455">
                  <c:v>7590012.4391201986</c:v>
                </c:pt>
                <c:pt idx="456">
                  <c:v>7608012.1112989476</c:v>
                </c:pt>
                <c:pt idx="457">
                  <c:v>7626011.7920877812</c:v>
                </c:pt>
                <c:pt idx="458">
                  <c:v>7644011.4812615709</c:v>
                </c:pt>
                <c:pt idx="459">
                  <c:v>7662011.1786010442</c:v>
                </c:pt>
                <c:pt idx="460">
                  <c:v>7680010.8838926228</c:v>
                </c:pt>
                <c:pt idx="461">
                  <c:v>7698010.5969282854</c:v>
                </c:pt>
                <c:pt idx="462">
                  <c:v>7716010.3175054248</c:v>
                </c:pt>
                <c:pt idx="463">
                  <c:v>7734010.0454267003</c:v>
                </c:pt>
                <c:pt idx="464">
                  <c:v>7752009.7804999035</c:v>
                </c:pt>
                <c:pt idx="465">
                  <c:v>7770009.522537834</c:v>
                </c:pt>
                <c:pt idx="466">
                  <c:v>7788009.2713581659</c:v>
                </c:pt>
                <c:pt idx="467">
                  <c:v>7806009.0267833117</c:v>
                </c:pt>
                <c:pt idx="468">
                  <c:v>7824008.788640311</c:v>
                </c:pt>
                <c:pt idx="469">
                  <c:v>7842008.5567607153</c:v>
                </c:pt>
                <c:pt idx="470">
                  <c:v>7860008.3309804518</c:v>
                </c:pt>
                <c:pt idx="471">
                  <c:v>7878008.1111397408</c:v>
                </c:pt>
                <c:pt idx="472">
                  <c:v>7896007.8970829435</c:v>
                </c:pt>
                <c:pt idx="473">
                  <c:v>7914007.6886584945</c:v>
                </c:pt>
                <c:pt idx="474">
                  <c:v>7932007.4857187774</c:v>
                </c:pt>
                <c:pt idx="475">
                  <c:v>7950007.2881200165</c:v>
                </c:pt>
                <c:pt idx="476">
                  <c:v>7968007.0957221929</c:v>
                </c:pt>
                <c:pt idx="477">
                  <c:v>7986006.9083889406</c:v>
                </c:pt>
                <c:pt idx="478">
                  <c:v>8004006.7259874456</c:v>
                </c:pt>
                <c:pt idx="479">
                  <c:v>8022006.5483883638</c:v>
                </c:pt>
                <c:pt idx="480">
                  <c:v>8040006.3754657265</c:v>
                </c:pt>
                <c:pt idx="481">
                  <c:v>8058006.2070968486</c:v>
                </c:pt>
                <c:pt idx="482">
                  <c:v>8076006.0431622528</c:v>
                </c:pt>
                <c:pt idx="483">
                  <c:v>8094005.8835455794</c:v>
                </c:pt>
                <c:pt idx="484">
                  <c:v>8112005.7281335108</c:v>
                </c:pt>
                <c:pt idx="485">
                  <c:v>8130005.5768156797</c:v>
                </c:pt>
                <c:pt idx="486">
                  <c:v>8148005.4294846151</c:v>
                </c:pt>
                <c:pt idx="487">
                  <c:v>8166005.286035642</c:v>
                </c:pt>
                <c:pt idx="488">
                  <c:v>8184005.1463668291</c:v>
                </c:pt>
                <c:pt idx="489">
                  <c:v>8202005.0103789046</c:v>
                </c:pt>
                <c:pt idx="490">
                  <c:v>8220004.8779751975</c:v>
                </c:pt>
                <c:pt idx="491">
                  <c:v>8238004.7490615565</c:v>
                </c:pt>
                <c:pt idx="492">
                  <c:v>8256004.6235462986</c:v>
                </c:pt>
                <c:pt idx="493">
                  <c:v>8274004.5013401341</c:v>
                </c:pt>
                <c:pt idx="494">
                  <c:v>8292004.3823561128</c:v>
                </c:pt>
                <c:pt idx="495">
                  <c:v>8310004.2665095553</c:v>
                </c:pt>
                <c:pt idx="496">
                  <c:v>8328004.153718004</c:v>
                </c:pt>
                <c:pt idx="497">
                  <c:v>8346004.043901151</c:v>
                </c:pt>
                <c:pt idx="498">
                  <c:v>8364003.936980797</c:v>
                </c:pt>
                <c:pt idx="499">
                  <c:v>8382003.8328807876</c:v>
                </c:pt>
                <c:pt idx="500">
                  <c:v>8400003.7315269597</c:v>
                </c:pt>
                <c:pt idx="501">
                  <c:v>8418003.6328470986</c:v>
                </c:pt>
                <c:pt idx="502">
                  <c:v>8436003.5367708728</c:v>
                </c:pt>
                <c:pt idx="503">
                  <c:v>8454003.4432297982</c:v>
                </c:pt>
                <c:pt idx="504">
                  <c:v>8472003.3521571886</c:v>
                </c:pt>
                <c:pt idx="505">
                  <c:v>8490003.2634880915</c:v>
                </c:pt>
                <c:pt idx="506">
                  <c:v>8508003.1771592703</c:v>
                </c:pt>
                <c:pt idx="507">
                  <c:v>8526003.0931091402</c:v>
                </c:pt>
                <c:pt idx="508">
                  <c:v>8544003.0112777278</c:v>
                </c:pt>
                <c:pt idx="509">
                  <c:v>8562002.9316066373</c:v>
                </c:pt>
                <c:pt idx="510">
                  <c:v>8580002.8540390022</c:v>
                </c:pt>
                <c:pt idx="511">
                  <c:v>8598002.778519446</c:v>
                </c:pt>
                <c:pt idx="512">
                  <c:v>8616002.7049940433</c:v>
                </c:pt>
                <c:pt idx="513">
                  <c:v>8634002.6334102862</c:v>
                </c:pt>
                <c:pt idx="514">
                  <c:v>8652002.563717043</c:v>
                </c:pt>
                <c:pt idx="515">
                  <c:v>8670002.4958645254</c:v>
                </c:pt>
                <c:pt idx="516">
                  <c:v>8688002.4298042469</c:v>
                </c:pt>
                <c:pt idx="517">
                  <c:v>8706002.3654889986</c:v>
                </c:pt>
                <c:pt idx="518">
                  <c:v>8724002.3028728031</c:v>
                </c:pt>
                <c:pt idx="519">
                  <c:v>8742002.2419109028</c:v>
                </c:pt>
                <c:pt idx="520">
                  <c:v>8760002.1825597025</c:v>
                </c:pt>
                <c:pt idx="521">
                  <c:v>8778002.1247767583</c:v>
                </c:pt>
                <c:pt idx="522">
                  <c:v>8796002.0685207378</c:v>
                </c:pt>
                <c:pt idx="523">
                  <c:v>8814002.0137513969</c:v>
                </c:pt>
                <c:pt idx="524">
                  <c:v>8832001.9604295455</c:v>
                </c:pt>
                <c:pt idx="525">
                  <c:v>8850001.9085170273</c:v>
                </c:pt>
                <c:pt idx="526">
                  <c:v>8868001.8579766862</c:v>
                </c:pt>
                <c:pt idx="527">
                  <c:v>8886001.8087723386</c:v>
                </c:pt>
                <c:pt idx="528">
                  <c:v>8904001.7608687598</c:v>
                </c:pt>
                <c:pt idx="529">
                  <c:v>8922001.714231642</c:v>
                </c:pt>
                <c:pt idx="530">
                  <c:v>8940001.6688275859</c:v>
                </c:pt>
                <c:pt idx="531">
                  <c:v>8958001.6246240698</c:v>
                </c:pt>
                <c:pt idx="532">
                  <c:v>8976001.5815894194</c:v>
                </c:pt>
                <c:pt idx="533">
                  <c:v>8994001.5396928042</c:v>
                </c:pt>
                <c:pt idx="534">
                  <c:v>9012001.4989042003</c:v>
                </c:pt>
                <c:pt idx="535">
                  <c:v>9030001.4591943678</c:v>
                </c:pt>
                <c:pt idx="536">
                  <c:v>9048001.4205348417</c:v>
                </c:pt>
                <c:pt idx="537">
                  <c:v>9066001.3828979097</c:v>
                </c:pt>
                <c:pt idx="538">
                  <c:v>9084001.3462565746</c:v>
                </c:pt>
                <c:pt idx="539">
                  <c:v>9102001.3105845656</c:v>
                </c:pt>
                <c:pt idx="540">
                  <c:v>9120001.2758562975</c:v>
                </c:pt>
                <c:pt idx="541">
                  <c:v>9138001.2420468498</c:v>
                </c:pt>
                <c:pt idx="542">
                  <c:v>9156001.209131971</c:v>
                </c:pt>
                <c:pt idx="543">
                  <c:v>9174001.1770880409</c:v>
                </c:pt>
                <c:pt idx="544">
                  <c:v>9192001.1458920594</c:v>
                </c:pt>
                <c:pt idx="545">
                  <c:v>9210001.1155216396</c:v>
                </c:pt>
                <c:pt idx="546">
                  <c:v>9228001.0859549791</c:v>
                </c:pt>
                <c:pt idx="547">
                  <c:v>9246001.0571708474</c:v>
                </c:pt>
                <c:pt idx="548">
                  <c:v>9264001.0291485731</c:v>
                </c:pt>
                <c:pt idx="549">
                  <c:v>9282001.0018680412</c:v>
                </c:pt>
                <c:pt idx="550">
                  <c:v>9300000.9753096495</c:v>
                </c:pt>
                <c:pt idx="551">
                  <c:v>9318000.9494543225</c:v>
                </c:pt>
                <c:pt idx="552">
                  <c:v>9336000.9242834859</c:v>
                </c:pt>
                <c:pt idx="553">
                  <c:v>9354000.8997790478</c:v>
                </c:pt>
                <c:pt idx="554">
                  <c:v>9372000.8759234082</c:v>
                </c:pt>
                <c:pt idx="555">
                  <c:v>9390000.8526994158</c:v>
                </c:pt>
                <c:pt idx="556">
                  <c:v>9408000.8300903793</c:v>
                </c:pt>
                <c:pt idx="557">
                  <c:v>9426000.8080800436</c:v>
                </c:pt>
                <c:pt idx="558">
                  <c:v>9444000.7866525911</c:v>
                </c:pt>
                <c:pt idx="559">
                  <c:v>9462000.7657926008</c:v>
                </c:pt>
                <c:pt idx="560">
                  <c:v>9480000.7454850823</c:v>
                </c:pt>
                <c:pt idx="561">
                  <c:v>9498000.7257154267</c:v>
                </c:pt>
                <c:pt idx="562">
                  <c:v>9516000.7064694148</c:v>
                </c:pt>
                <c:pt idx="563">
                  <c:v>9534000.6877331957</c:v>
                </c:pt>
                <c:pt idx="564">
                  <c:v>9552000.6694932953</c:v>
                </c:pt>
                <c:pt idx="565">
                  <c:v>9570000.6517365873</c:v>
                </c:pt>
                <c:pt idx="566">
                  <c:v>9588000.6344502941</c:v>
                </c:pt>
                <c:pt idx="567">
                  <c:v>9606000.6176219713</c:v>
                </c:pt>
                <c:pt idx="568">
                  <c:v>9624000.6012395099</c:v>
                </c:pt>
                <c:pt idx="569">
                  <c:v>9642000.5852911118</c:v>
                </c:pt>
                <c:pt idx="570">
                  <c:v>9660000.5697652958</c:v>
                </c:pt>
                <c:pt idx="571">
                  <c:v>9678000.5546508878</c:v>
                </c:pt>
                <c:pt idx="572">
                  <c:v>9696000.5399370007</c:v>
                </c:pt>
                <c:pt idx="573">
                  <c:v>9714000.5256130341</c:v>
                </c:pt>
                <c:pt idx="574">
                  <c:v>9732000.5116686765</c:v>
                </c:pt>
                <c:pt idx="575">
                  <c:v>9750000.4980938789</c:v>
                </c:pt>
                <c:pt idx="576">
                  <c:v>9768000.4848788641</c:v>
                </c:pt>
                <c:pt idx="577">
                  <c:v>9786000.4720141124</c:v>
                </c:pt>
                <c:pt idx="578">
                  <c:v>9804000.4594903532</c:v>
                </c:pt>
                <c:pt idx="579">
                  <c:v>9822000.4472985603</c:v>
                </c:pt>
                <c:pt idx="580">
                  <c:v>9840000.4354299475</c:v>
                </c:pt>
                <c:pt idx="581">
                  <c:v>9858000.4238759596</c:v>
                </c:pt>
                <c:pt idx="582">
                  <c:v>9876000.412628267</c:v>
                </c:pt>
                <c:pt idx="583">
                  <c:v>9894000.4016787689</c:v>
                </c:pt>
                <c:pt idx="584">
                  <c:v>9912000.3910195604</c:v>
                </c:pt>
                <c:pt idx="585">
                  <c:v>9930000.3806429617</c:v>
                </c:pt>
                <c:pt idx="586">
                  <c:v>9948000.3705414906</c:v>
                </c:pt>
                <c:pt idx="587">
                  <c:v>9966000.3607078604</c:v>
                </c:pt>
                <c:pt idx="588">
                  <c:v>9984000.3511349782</c:v>
                </c:pt>
                <c:pt idx="589">
                  <c:v>10002000.341815943</c:v>
                </c:pt>
                <c:pt idx="590">
                  <c:v>10020000.332744027</c:v>
                </c:pt>
                <c:pt idx="591">
                  <c:v>10038000.323912688</c:v>
                </c:pt>
                <c:pt idx="592">
                  <c:v>10056000.315315556</c:v>
                </c:pt>
                <c:pt idx="593">
                  <c:v>10074000.306946425</c:v>
                </c:pt>
                <c:pt idx="594">
                  <c:v>10092000.298799256</c:v>
                </c:pt>
                <c:pt idx="595">
                  <c:v>10110000.290868171</c:v>
                </c:pt>
                <c:pt idx="596">
                  <c:v>10128000.283147445</c:v>
                </c:pt>
                <c:pt idx="597">
                  <c:v>10146000.275631504</c:v>
                </c:pt>
                <c:pt idx="598">
                  <c:v>10164000.268314926</c:v>
                </c:pt>
                <c:pt idx="599">
                  <c:v>10182000.261192426</c:v>
                </c:pt>
                <c:pt idx="600">
                  <c:v>10200000.254258864</c:v>
                </c:pt>
                <c:pt idx="601">
                  <c:v>10218000.24750923</c:v>
                </c:pt>
                <c:pt idx="602">
                  <c:v>10236000.240938656</c:v>
                </c:pt>
                <c:pt idx="603">
                  <c:v>10254000.234542392</c:v>
                </c:pt>
                <c:pt idx="604">
                  <c:v>10272000.228315823</c:v>
                </c:pt>
                <c:pt idx="605">
                  <c:v>10290000.222254448</c:v>
                </c:pt>
                <c:pt idx="606">
                  <c:v>10308000.21635389</c:v>
                </c:pt>
                <c:pt idx="607">
                  <c:v>10326000.210609889</c:v>
                </c:pt>
                <c:pt idx="608">
                  <c:v>10344000.205018295</c:v>
                </c:pt>
                <c:pt idx="609">
                  <c:v>10362000.199575067</c:v>
                </c:pt>
                <c:pt idx="610">
                  <c:v>10380000.194276271</c:v>
                </c:pt>
                <c:pt idx="611">
                  <c:v>10398000.18911808</c:v>
                </c:pt>
                <c:pt idx="612">
                  <c:v>10416000.184096768</c:v>
                </c:pt>
                <c:pt idx="613">
                  <c:v>10434000.179208705</c:v>
                </c:pt>
                <c:pt idx="614">
                  <c:v>10452000.174450357</c:v>
                </c:pt>
                <c:pt idx="615">
                  <c:v>10470000.169818288</c:v>
                </c:pt>
                <c:pt idx="616">
                  <c:v>10488000.165309146</c:v>
                </c:pt>
                <c:pt idx="617">
                  <c:v>10506000.160919677</c:v>
                </c:pt>
                <c:pt idx="618">
                  <c:v>10524000.156646704</c:v>
                </c:pt>
                <c:pt idx="619">
                  <c:v>10542000.152487136</c:v>
                </c:pt>
                <c:pt idx="620">
                  <c:v>10560000.148437971</c:v>
                </c:pt>
                <c:pt idx="621">
                  <c:v>10578000.144496277</c:v>
                </c:pt>
                <c:pt idx="622">
                  <c:v>10596000.140659207</c:v>
                </c:pt>
                <c:pt idx="623">
                  <c:v>10614000.136923987</c:v>
                </c:pt>
                <c:pt idx="624">
                  <c:v>10632000.13328791</c:v>
                </c:pt>
                <c:pt idx="625">
                  <c:v>10650000.129748356</c:v>
                </c:pt>
                <c:pt idx="626">
                  <c:v>10668000.126302756</c:v>
                </c:pt>
                <c:pt idx="627">
                  <c:v>10686000.12294862</c:v>
                </c:pt>
                <c:pt idx="628">
                  <c:v>10704000.119683526</c:v>
                </c:pt>
                <c:pt idx="629">
                  <c:v>10722000.116505107</c:v>
                </c:pt>
                <c:pt idx="630">
                  <c:v>10740000.113411065</c:v>
                </c:pt>
                <c:pt idx="631">
                  <c:v>10758000.110399166</c:v>
                </c:pt>
                <c:pt idx="632">
                  <c:v>10776000.107467229</c:v>
                </c:pt>
                <c:pt idx="633">
                  <c:v>10794000.104613127</c:v>
                </c:pt>
                <c:pt idx="634">
                  <c:v>10812000.101834804</c:v>
                </c:pt>
                <c:pt idx="635">
                  <c:v>10830000.099130239</c:v>
                </c:pt>
                <c:pt idx="636">
                  <c:v>10848000.096497485</c:v>
                </c:pt>
                <c:pt idx="637">
                  <c:v>10866000.093934633</c:v>
                </c:pt>
                <c:pt idx="638">
                  <c:v>10884000.091439826</c:v>
                </c:pt>
                <c:pt idx="639">
                  <c:v>10902000.089011261</c:v>
                </c:pt>
                <c:pt idx="640">
                  <c:v>10920000.086647183</c:v>
                </c:pt>
                <c:pt idx="641">
                  <c:v>10938000.084345873</c:v>
                </c:pt>
                <c:pt idx="642">
                  <c:v>10956000.082105672</c:v>
                </c:pt>
                <c:pt idx="643">
                  <c:v>10974000.079924956</c:v>
                </c:pt>
                <c:pt idx="644">
                  <c:v>10992000.077802146</c:v>
                </c:pt>
                <c:pt idx="645">
                  <c:v>11010000.075735707</c:v>
                </c:pt>
                <c:pt idx="646">
                  <c:v>11028000.073724139</c:v>
                </c:pt>
                <c:pt idx="647">
                  <c:v>11046000.071765991</c:v>
                </c:pt>
                <c:pt idx="648">
                  <c:v>11064000.069859842</c:v>
                </c:pt>
                <c:pt idx="649">
                  <c:v>11082000.068004316</c:v>
                </c:pt>
                <c:pt idx="650">
                  <c:v>11100000.06619806</c:v>
                </c:pt>
                <c:pt idx="651">
                  <c:v>11118000.064439774</c:v>
                </c:pt>
                <c:pt idx="652">
                  <c:v>11136000.062728185</c:v>
                </c:pt>
                <c:pt idx="653">
                  <c:v>11154000.061062047</c:v>
                </c:pt>
                <c:pt idx="654">
                  <c:v>11172000.059440162</c:v>
                </c:pt>
                <c:pt idx="655">
                  <c:v>11190000.057861352</c:v>
                </c:pt>
                <c:pt idx="656">
                  <c:v>11208000.056324469</c:v>
                </c:pt>
                <c:pt idx="657">
                  <c:v>11226000.054828407</c:v>
                </c:pt>
                <c:pt idx="658">
                  <c:v>11244000.053372078</c:v>
                </c:pt>
                <c:pt idx="659">
                  <c:v>11262000.051954426</c:v>
                </c:pt>
                <c:pt idx="660">
                  <c:v>11280000.050574429</c:v>
                </c:pt>
                <c:pt idx="661">
                  <c:v>11298000.049231084</c:v>
                </c:pt>
                <c:pt idx="662">
                  <c:v>11316000.047923416</c:v>
                </c:pt>
                <c:pt idx="663">
                  <c:v>11334000.046650482</c:v>
                </c:pt>
                <c:pt idx="664">
                  <c:v>11352000.04541136</c:v>
                </c:pt>
                <c:pt idx="665">
                  <c:v>11370000.04420515</c:v>
                </c:pt>
                <c:pt idx="666">
                  <c:v>11388000.043030975</c:v>
                </c:pt>
                <c:pt idx="667">
                  <c:v>11406000.041887993</c:v>
                </c:pt>
                <c:pt idx="668">
                  <c:v>11424000.040775366</c:v>
                </c:pt>
                <c:pt idx="669">
                  <c:v>11442000.039692294</c:v>
                </c:pt>
                <c:pt idx="670">
                  <c:v>11460000.03863799</c:v>
                </c:pt>
                <c:pt idx="671">
                  <c:v>11478000.037611693</c:v>
                </c:pt>
                <c:pt idx="672">
                  <c:v>11496000.036612656</c:v>
                </c:pt>
                <c:pt idx="673">
                  <c:v>11514000.035640156</c:v>
                </c:pt>
                <c:pt idx="674">
                  <c:v>11532000.034693489</c:v>
                </c:pt>
                <c:pt idx="675">
                  <c:v>11550000.033771969</c:v>
                </c:pt>
                <c:pt idx="676">
                  <c:v>11568000.032874927</c:v>
                </c:pt>
                <c:pt idx="677">
                  <c:v>11586000.032001713</c:v>
                </c:pt>
                <c:pt idx="678">
                  <c:v>11604000.031151697</c:v>
                </c:pt>
                <c:pt idx="679">
                  <c:v>11622000.030324262</c:v>
                </c:pt>
                <c:pt idx="680">
                  <c:v>11640000.029518802</c:v>
                </c:pt>
                <c:pt idx="681">
                  <c:v>11658000.028734742</c:v>
                </c:pt>
                <c:pt idx="682">
                  <c:v>11676000.027971508</c:v>
                </c:pt>
                <c:pt idx="683">
                  <c:v>11694000.027228553</c:v>
                </c:pt>
                <c:pt idx="684">
                  <c:v>11712000.026505327</c:v>
                </c:pt>
                <c:pt idx="685">
                  <c:v>11730000.025801321</c:v>
                </c:pt>
                <c:pt idx="686">
                  <c:v>11748000.02511601</c:v>
                </c:pt>
                <c:pt idx="687">
                  <c:v>11766000.024448909</c:v>
                </c:pt>
                <c:pt idx="688">
                  <c:v>11784000.023799526</c:v>
                </c:pt>
                <c:pt idx="689">
                  <c:v>11802000.023167398</c:v>
                </c:pt>
                <c:pt idx="690">
                  <c:v>11820000.02255206</c:v>
                </c:pt>
                <c:pt idx="691">
                  <c:v>11838000.021953067</c:v>
                </c:pt>
                <c:pt idx="692">
                  <c:v>11856000.02136999</c:v>
                </c:pt>
                <c:pt idx="693">
                  <c:v>11874000.020802401</c:v>
                </c:pt>
                <c:pt idx="694">
                  <c:v>11892000.02024989</c:v>
                </c:pt>
                <c:pt idx="695">
                  <c:v>11910000.019712059</c:v>
                </c:pt>
                <c:pt idx="696">
                  <c:v>11928000.019188516</c:v>
                </c:pt>
                <c:pt idx="697">
                  <c:v>11946000.018678878</c:v>
                </c:pt>
                <c:pt idx="698">
                  <c:v>11964000.018182781</c:v>
                </c:pt>
                <c:pt idx="699">
                  <c:v>11982000.01769986</c:v>
                </c:pt>
                <c:pt idx="700">
                  <c:v>12000000.017229771</c:v>
                </c:pt>
                <c:pt idx="701">
                  <c:v>12018000.016772173</c:v>
                </c:pt>
                <c:pt idx="702">
                  <c:v>12036000.016326727</c:v>
                </c:pt>
                <c:pt idx="703">
                  <c:v>12054000.015893118</c:v>
                </c:pt>
                <c:pt idx="704">
                  <c:v>12072000.015471026</c:v>
                </c:pt>
                <c:pt idx="705">
                  <c:v>12090000.015060145</c:v>
                </c:pt>
                <c:pt idx="706">
                  <c:v>12108000.014660185</c:v>
                </c:pt>
                <c:pt idx="707">
                  <c:v>12126000.014270846</c:v>
                </c:pt>
                <c:pt idx="708">
                  <c:v>12144000.013891852</c:v>
                </c:pt>
                <c:pt idx="709">
                  <c:v>12162000.013522925</c:v>
                </c:pt>
                <c:pt idx="710">
                  <c:v>12180000.013163798</c:v>
                </c:pt>
                <c:pt idx="711">
                  <c:v>12198000.012814213</c:v>
                </c:pt>
                <c:pt idx="712">
                  <c:v>12216000.012473915</c:v>
                </c:pt>
                <c:pt idx="713">
                  <c:v>12234000.012142656</c:v>
                </c:pt>
                <c:pt idx="714">
                  <c:v>12252000.011820197</c:v>
                </c:pt>
                <c:pt idx="715">
                  <c:v>12270000.011506304</c:v>
                </c:pt>
                <c:pt idx="716">
                  <c:v>12288000.011200752</c:v>
                </c:pt>
                <c:pt idx="717">
                  <c:v>12306000.010903316</c:v>
                </c:pt>
                <c:pt idx="718">
                  <c:v>12324000.010613779</c:v>
                </c:pt>
                <c:pt idx="719">
                  <c:v>12342000.010331934</c:v>
                </c:pt>
                <c:pt idx="720">
                  <c:v>12360000.01005758</c:v>
                </c:pt>
                <c:pt idx="721">
                  <c:v>12378000.00979051</c:v>
                </c:pt>
                <c:pt idx="722">
                  <c:v>12396000.009530539</c:v>
                </c:pt>
                <c:pt idx="723">
                  <c:v>12414000.00927747</c:v>
                </c:pt>
                <c:pt idx="724">
                  <c:v>12432000.009031126</c:v>
                </c:pt>
                <c:pt idx="725">
                  <c:v>12450000.008791326</c:v>
                </c:pt>
                <c:pt idx="726">
                  <c:v>12468000.008557895</c:v>
                </c:pt>
                <c:pt idx="727">
                  <c:v>12486000.008330664</c:v>
                </c:pt>
                <c:pt idx="728">
                  <c:v>12504000.008109471</c:v>
                </c:pt>
                <c:pt idx="729">
                  <c:v>12522000.007894153</c:v>
                </c:pt>
                <c:pt idx="730">
                  <c:v>12540000.007684553</c:v>
                </c:pt>
                <c:pt idx="731">
                  <c:v>12558000.007480524</c:v>
                </c:pt>
                <c:pt idx="732">
                  <c:v>12576000.007281912</c:v>
                </c:pt>
                <c:pt idx="733">
                  <c:v>12594000.007088576</c:v>
                </c:pt>
                <c:pt idx="734">
                  <c:v>12612000.006900378</c:v>
                </c:pt>
                <c:pt idx="735">
                  <c:v>12630000.006717173</c:v>
                </c:pt>
                <c:pt idx="736">
                  <c:v>12648000.006538844</c:v>
                </c:pt>
                <c:pt idx="737">
                  <c:v>12666000.006365243</c:v>
                </c:pt>
                <c:pt idx="738">
                  <c:v>12684000.006196257</c:v>
                </c:pt>
                <c:pt idx="739">
                  <c:v>12702000.006031759</c:v>
                </c:pt>
                <c:pt idx="740">
                  <c:v>12720000.005871631</c:v>
                </c:pt>
                <c:pt idx="741">
                  <c:v>12738000.005715754</c:v>
                </c:pt>
                <c:pt idx="742">
                  <c:v>12756000.005564019</c:v>
                </c:pt>
                <c:pt idx="743">
                  <c:v>12774000.005416317</c:v>
                </c:pt>
                <c:pt idx="744">
                  <c:v>12792000.005272534</c:v>
                </c:pt>
                <c:pt idx="745">
                  <c:v>12810000.005132573</c:v>
                </c:pt>
                <c:pt idx="746">
                  <c:v>12828000.004996326</c:v>
                </c:pt>
                <c:pt idx="747">
                  <c:v>12846000.004863702</c:v>
                </c:pt>
                <c:pt idx="748">
                  <c:v>12864000.004734596</c:v>
                </c:pt>
                <c:pt idx="749">
                  <c:v>12882000.004608924</c:v>
                </c:pt>
                <c:pt idx="750">
                  <c:v>12900000.004486583</c:v>
                </c:pt>
                <c:pt idx="751">
                  <c:v>12918000.004367499</c:v>
                </c:pt>
                <c:pt idx="752">
                  <c:v>12936000.004251568</c:v>
                </c:pt>
                <c:pt idx="753">
                  <c:v>12954000.004138725</c:v>
                </c:pt>
                <c:pt idx="754">
                  <c:v>12972000.004028874</c:v>
                </c:pt>
                <c:pt idx="755">
                  <c:v>12990000.003921943</c:v>
                </c:pt>
                <c:pt idx="756">
                  <c:v>13008000.003817853</c:v>
                </c:pt>
                <c:pt idx="757">
                  <c:v>13026000.003716525</c:v>
                </c:pt>
                <c:pt idx="758">
                  <c:v>13044000.003617886</c:v>
                </c:pt>
                <c:pt idx="759">
                  <c:v>13062000.003521869</c:v>
                </c:pt>
                <c:pt idx="760">
                  <c:v>13080000.003428405</c:v>
                </c:pt>
                <c:pt idx="761">
                  <c:v>13098000.003337417</c:v>
                </c:pt>
                <c:pt idx="762">
                  <c:v>13116000.00324885</c:v>
                </c:pt>
                <c:pt idx="763">
                  <c:v>13134000.003162634</c:v>
                </c:pt>
                <c:pt idx="764">
                  <c:v>13152000.003078705</c:v>
                </c:pt>
                <c:pt idx="765">
                  <c:v>13170000.002997005</c:v>
                </c:pt>
                <c:pt idx="766">
                  <c:v>13188000.002917478</c:v>
                </c:pt>
                <c:pt idx="767">
                  <c:v>13206000.002840061</c:v>
                </c:pt>
                <c:pt idx="768">
                  <c:v>13224000.002764698</c:v>
                </c:pt>
                <c:pt idx="769">
                  <c:v>13242000.002691338</c:v>
                </c:pt>
                <c:pt idx="770">
                  <c:v>13260000.002619926</c:v>
                </c:pt>
                <c:pt idx="771">
                  <c:v>13278000.002550408</c:v>
                </c:pt>
                <c:pt idx="772">
                  <c:v>13296000.00248274</c:v>
                </c:pt>
                <c:pt idx="773">
                  <c:v>13314000.002416864</c:v>
                </c:pt>
                <c:pt idx="774">
                  <c:v>13332000.002352741</c:v>
                </c:pt>
                <c:pt idx="775">
                  <c:v>13350000.002290322</c:v>
                </c:pt>
                <c:pt idx="776">
                  <c:v>13368000.002229553</c:v>
                </c:pt>
                <c:pt idx="777">
                  <c:v>13386000.002170403</c:v>
                </c:pt>
                <c:pt idx="778">
                  <c:v>13404000.002112824</c:v>
                </c:pt>
                <c:pt idx="779">
                  <c:v>13422000.002056764</c:v>
                </c:pt>
                <c:pt idx="780">
                  <c:v>13440000.002002206</c:v>
                </c:pt>
                <c:pt idx="781">
                  <c:v>13458000.001949089</c:v>
                </c:pt>
                <c:pt idx="782">
                  <c:v>13476000.001897383</c:v>
                </c:pt>
                <c:pt idx="783">
                  <c:v>13494000.001847049</c:v>
                </c:pt>
                <c:pt idx="784">
                  <c:v>13512000.001798058</c:v>
                </c:pt>
                <c:pt idx="785">
                  <c:v>13530000.001750359</c:v>
                </c:pt>
                <c:pt idx="786">
                  <c:v>13548000.001703931</c:v>
                </c:pt>
                <c:pt idx="787">
                  <c:v>13566000.001658734</c:v>
                </c:pt>
                <c:pt idx="788">
                  <c:v>13584000.001614735</c:v>
                </c:pt>
                <c:pt idx="789">
                  <c:v>13602000.001571909</c:v>
                </c:pt>
                <c:pt idx="790">
                  <c:v>13620000.001530215</c:v>
                </c:pt>
                <c:pt idx="791">
                  <c:v>13638000.00148963</c:v>
                </c:pt>
                <c:pt idx="792">
                  <c:v>13656000.001450121</c:v>
                </c:pt>
                <c:pt idx="793">
                  <c:v>13674000.001411662</c:v>
                </c:pt>
                <c:pt idx="794">
                  <c:v>13692000.00137422</c:v>
                </c:pt>
                <c:pt idx="795">
                  <c:v>13710000.001337776</c:v>
                </c:pt>
                <c:pt idx="796">
                  <c:v>13728000.001302304</c:v>
                </c:pt>
                <c:pt idx="797">
                  <c:v>13746000.001267763</c:v>
                </c:pt>
                <c:pt idx="798">
                  <c:v>13764000.001234146</c:v>
                </c:pt>
                <c:pt idx="799">
                  <c:v>13782000.001201417</c:v>
                </c:pt>
                <c:pt idx="800">
                  <c:v>13800000.001169559</c:v>
                </c:pt>
                <c:pt idx="801">
                  <c:v>13818000.001138547</c:v>
                </c:pt>
                <c:pt idx="802">
                  <c:v>13836000.001108358</c:v>
                </c:pt>
                <c:pt idx="803">
                  <c:v>13854000.001078969</c:v>
                </c:pt>
                <c:pt idx="804">
                  <c:v>13872000.001050361</c:v>
                </c:pt>
                <c:pt idx="805">
                  <c:v>13890000.00102251</c:v>
                </c:pt>
                <c:pt idx="806">
                  <c:v>13908000.000995398</c:v>
                </c:pt>
                <c:pt idx="807">
                  <c:v>13926000.000969008</c:v>
                </c:pt>
                <c:pt idx="808">
                  <c:v>13944000.00094332</c:v>
                </c:pt>
                <c:pt idx="809">
                  <c:v>13962000.000918308</c:v>
                </c:pt>
                <c:pt idx="810">
                  <c:v>13980000.000893962</c:v>
                </c:pt>
                <c:pt idx="811">
                  <c:v>13998000.000870265</c:v>
                </c:pt>
                <c:pt idx="812">
                  <c:v>14016000.000847192</c:v>
                </c:pt>
                <c:pt idx="813">
                  <c:v>14034000.000824733</c:v>
                </c:pt>
                <c:pt idx="814">
                  <c:v>14052000.000802871</c:v>
                </c:pt>
                <c:pt idx="815">
                  <c:v>14070000.000781592</c:v>
                </c:pt>
                <c:pt idx="816">
                  <c:v>14088000.00076087</c:v>
                </c:pt>
                <c:pt idx="817">
                  <c:v>14106000.000740703</c:v>
                </c:pt>
                <c:pt idx="818">
                  <c:v>14124000.000721069</c:v>
                </c:pt>
                <c:pt idx="819">
                  <c:v>14142000.000701956</c:v>
                </c:pt>
                <c:pt idx="820">
                  <c:v>14160000.000683356</c:v>
                </c:pt>
                <c:pt idx="821">
                  <c:v>14178000.000665246</c:v>
                </c:pt>
                <c:pt idx="822">
                  <c:v>14196000.000647612</c:v>
                </c:pt>
                <c:pt idx="823">
                  <c:v>14214000.000630448</c:v>
                </c:pt>
                <c:pt idx="824">
                  <c:v>14232000.000613742</c:v>
                </c:pt>
                <c:pt idx="825">
                  <c:v>14250000.000597475</c:v>
                </c:pt>
                <c:pt idx="826">
                  <c:v>14268000.000581641</c:v>
                </c:pt>
                <c:pt idx="827">
                  <c:v>14286000.000566229</c:v>
                </c:pt>
                <c:pt idx="828">
                  <c:v>14304000.000551226</c:v>
                </c:pt>
                <c:pt idx="829">
                  <c:v>14322000.000536621</c:v>
                </c:pt>
                <c:pt idx="830">
                  <c:v>14340000.000522399</c:v>
                </c:pt>
                <c:pt idx="831">
                  <c:v>14358000.000508556</c:v>
                </c:pt>
                <c:pt idx="832">
                  <c:v>14376000.000495082</c:v>
                </c:pt>
                <c:pt idx="833">
                  <c:v>14394000.000481967</c:v>
                </c:pt>
                <c:pt idx="834">
                  <c:v>14412000.000469195</c:v>
                </c:pt>
                <c:pt idx="835">
                  <c:v>14430000.000456763</c:v>
                </c:pt>
                <c:pt idx="836">
                  <c:v>14448000.000444666</c:v>
                </c:pt>
                <c:pt idx="837">
                  <c:v>14466000.000432882</c:v>
                </c:pt>
                <c:pt idx="838">
                  <c:v>14484000.000421416</c:v>
                </c:pt>
                <c:pt idx="839">
                  <c:v>14502000.000410255</c:v>
                </c:pt>
                <c:pt idx="840">
                  <c:v>14520000.000399383</c:v>
                </c:pt>
                <c:pt idx="841">
                  <c:v>14538000.000388805</c:v>
                </c:pt>
                <c:pt idx="842">
                  <c:v>14556000.000378506</c:v>
                </c:pt>
                <c:pt idx="843">
                  <c:v>14574000.00036848</c:v>
                </c:pt>
                <c:pt idx="844">
                  <c:v>14592000.000358721</c:v>
                </c:pt>
                <c:pt idx="845">
                  <c:v>14610000.000349218</c:v>
                </c:pt>
                <c:pt idx="846">
                  <c:v>14628000.00033997</c:v>
                </c:pt>
                <c:pt idx="847">
                  <c:v>14646000.000330964</c:v>
                </c:pt>
                <c:pt idx="848">
                  <c:v>14664000.000322202</c:v>
                </c:pt>
                <c:pt idx="849">
                  <c:v>14682000.000313666</c:v>
                </c:pt>
                <c:pt idx="850">
                  <c:v>14700000.00030536</c:v>
                </c:pt>
                <c:pt idx="851">
                  <c:v>14718000.000297278</c:v>
                </c:pt>
                <c:pt idx="852">
                  <c:v>14736000.000289401</c:v>
                </c:pt>
                <c:pt idx="853">
                  <c:v>14754000.00028174</c:v>
                </c:pt>
                <c:pt idx="854">
                  <c:v>14772000.00027428</c:v>
                </c:pt>
                <c:pt idx="855">
                  <c:v>14790000.000267014</c:v>
                </c:pt>
                <c:pt idx="856">
                  <c:v>14808000.000259947</c:v>
                </c:pt>
                <c:pt idx="857">
                  <c:v>14826000.000253065</c:v>
                </c:pt>
                <c:pt idx="858">
                  <c:v>14844000.000246363</c:v>
                </c:pt>
                <c:pt idx="859">
                  <c:v>14862000.00023984</c:v>
                </c:pt>
                <c:pt idx="860">
                  <c:v>14880000.000233492</c:v>
                </c:pt>
                <c:pt idx="861">
                  <c:v>14898000.000227306</c:v>
                </c:pt>
                <c:pt idx="862">
                  <c:v>14916000.000221293</c:v>
                </c:pt>
                <c:pt idx="863">
                  <c:v>14934000.000215435</c:v>
                </c:pt>
                <c:pt idx="864">
                  <c:v>14952000.000209728</c:v>
                </c:pt>
                <c:pt idx="865">
                  <c:v>14970000.000204178</c:v>
                </c:pt>
                <c:pt idx="866">
                  <c:v>14988000.000198774</c:v>
                </c:pt>
                <c:pt idx="867">
                  <c:v>15006000.000193512</c:v>
                </c:pt>
                <c:pt idx="868">
                  <c:v>15024000.000188388</c:v>
                </c:pt>
                <c:pt idx="869">
                  <c:v>15042000.000183407</c:v>
                </c:pt>
                <c:pt idx="870">
                  <c:v>15060000.000178549</c:v>
                </c:pt>
                <c:pt idx="871">
                  <c:v>15078000.000173826</c:v>
                </c:pt>
                <c:pt idx="872">
                  <c:v>15096000.000169225</c:v>
                </c:pt>
                <c:pt idx="873">
                  <c:v>15114000.000164744</c:v>
                </c:pt>
                <c:pt idx="874">
                  <c:v>15132000.000160385</c:v>
                </c:pt>
                <c:pt idx="875">
                  <c:v>15150000.000156144</c:v>
                </c:pt>
                <c:pt idx="876">
                  <c:v>15168000.00015201</c:v>
                </c:pt>
                <c:pt idx="877">
                  <c:v>15186000.000147991</c:v>
                </c:pt>
                <c:pt idx="878">
                  <c:v>15204000.000144074</c:v>
                </c:pt>
                <c:pt idx="879">
                  <c:v>15222000.000140261</c:v>
                </c:pt>
                <c:pt idx="880">
                  <c:v>15240000.000136552</c:v>
                </c:pt>
                <c:pt idx="881">
                  <c:v>15258000.000132937</c:v>
                </c:pt>
                <c:pt idx="882">
                  <c:v>15276000.000129418</c:v>
                </c:pt>
                <c:pt idx="883">
                  <c:v>15294000.000125995</c:v>
                </c:pt>
                <c:pt idx="884">
                  <c:v>15312000.000122664</c:v>
                </c:pt>
                <c:pt idx="885">
                  <c:v>15330000.000119416</c:v>
                </c:pt>
                <c:pt idx="886">
                  <c:v>15348000.000116259</c:v>
                </c:pt>
                <c:pt idx="887">
                  <c:v>15366000.000113187</c:v>
                </c:pt>
                <c:pt idx="888">
                  <c:v>15384000.000110188</c:v>
                </c:pt>
                <c:pt idx="889">
                  <c:v>15402000.000107275</c:v>
                </c:pt>
                <c:pt idx="890">
                  <c:v>15420000.000104439</c:v>
                </c:pt>
                <c:pt idx="891">
                  <c:v>15438000.000101678</c:v>
                </c:pt>
                <c:pt idx="892">
                  <c:v>15456000.000098988</c:v>
                </c:pt>
                <c:pt idx="893">
                  <c:v>15474000.000096371</c:v>
                </c:pt>
                <c:pt idx="894">
                  <c:v>15492000.00009382</c:v>
                </c:pt>
                <c:pt idx="895">
                  <c:v>15510000.000091342</c:v>
                </c:pt>
                <c:pt idx="896">
                  <c:v>15528000.000088925</c:v>
                </c:pt>
                <c:pt idx="897">
                  <c:v>15546000.000086572</c:v>
                </c:pt>
                <c:pt idx="898">
                  <c:v>15564000.000084283</c:v>
                </c:pt>
                <c:pt idx="899">
                  <c:v>15582000.000082053</c:v>
                </c:pt>
                <c:pt idx="900">
                  <c:v>15600000.000079885</c:v>
                </c:pt>
                <c:pt idx="901">
                  <c:v>15618000.000077773</c:v>
                </c:pt>
                <c:pt idx="902">
                  <c:v>15636000.000075717</c:v>
                </c:pt>
                <c:pt idx="903">
                  <c:v>15654000.000073716</c:v>
                </c:pt>
                <c:pt idx="904">
                  <c:v>15672000.000071768</c:v>
                </c:pt>
                <c:pt idx="905">
                  <c:v>15690000.000069872</c:v>
                </c:pt>
                <c:pt idx="906">
                  <c:v>15708000.000068022</c:v>
                </c:pt>
                <c:pt idx="907">
                  <c:v>15726000.000066224</c:v>
                </c:pt>
                <c:pt idx="908">
                  <c:v>15744000.000064477</c:v>
                </c:pt>
                <c:pt idx="909">
                  <c:v>15762000.000062767</c:v>
                </c:pt>
                <c:pt idx="910">
                  <c:v>15780000.00006111</c:v>
                </c:pt>
                <c:pt idx="911">
                  <c:v>15798000.000059498</c:v>
                </c:pt>
                <c:pt idx="912">
                  <c:v>15816000.000057921</c:v>
                </c:pt>
                <c:pt idx="913">
                  <c:v>15834000.000056395</c:v>
                </c:pt>
                <c:pt idx="914">
                  <c:v>15852000.000054901</c:v>
                </c:pt>
                <c:pt idx="915">
                  <c:v>15870000.00005345</c:v>
                </c:pt>
                <c:pt idx="916">
                  <c:v>15888000.00005204</c:v>
                </c:pt>
                <c:pt idx="917">
                  <c:v>15906000.000050666</c:v>
                </c:pt>
                <c:pt idx="918">
                  <c:v>15924000.000049325</c:v>
                </c:pt>
                <c:pt idx="919">
                  <c:v>15942000.000048023</c:v>
                </c:pt>
                <c:pt idx="920">
                  <c:v>15960000.000046756</c:v>
                </c:pt>
                <c:pt idx="921">
                  <c:v>15978000.000045516</c:v>
                </c:pt>
                <c:pt idx="922">
                  <c:v>15996000.000044314</c:v>
                </c:pt>
                <c:pt idx="923">
                  <c:v>16014000.000043146</c:v>
                </c:pt>
                <c:pt idx="924">
                  <c:v>16032000.000042006</c:v>
                </c:pt>
                <c:pt idx="925">
                  <c:v>16050000.000040896</c:v>
                </c:pt>
                <c:pt idx="926">
                  <c:v>16068000.000039816</c:v>
                </c:pt>
                <c:pt idx="927">
                  <c:v>16086000.000038764</c:v>
                </c:pt>
                <c:pt idx="928">
                  <c:v>16104000.000037739</c:v>
                </c:pt>
                <c:pt idx="929">
                  <c:v>16122000.000036746</c:v>
                </c:pt>
                <c:pt idx="930">
                  <c:v>16140000.00003577</c:v>
                </c:pt>
                <c:pt idx="931">
                  <c:v>16158000.000034828</c:v>
                </c:pt>
                <c:pt idx="932">
                  <c:v>16176000.000033909</c:v>
                </c:pt>
                <c:pt idx="933">
                  <c:v>16194000.00003301</c:v>
                </c:pt>
                <c:pt idx="934">
                  <c:v>16212000.000032142</c:v>
                </c:pt>
                <c:pt idx="935">
                  <c:v>16230000.000031292</c:v>
                </c:pt>
                <c:pt idx="936">
                  <c:v>16248000.000030462</c:v>
                </c:pt>
                <c:pt idx="937">
                  <c:v>16266000.000029661</c:v>
                </c:pt>
                <c:pt idx="938">
                  <c:v>16284000.000028875</c:v>
                </c:pt>
                <c:pt idx="939">
                  <c:v>16302000.000028115</c:v>
                </c:pt>
                <c:pt idx="940">
                  <c:v>16320000.000027373</c:v>
                </c:pt>
                <c:pt idx="941">
                  <c:v>16338000.000026651</c:v>
                </c:pt>
                <c:pt idx="942">
                  <c:v>16356000.000025947</c:v>
                </c:pt>
                <c:pt idx="943">
                  <c:v>16374000.000025257</c:v>
                </c:pt>
                <c:pt idx="944">
                  <c:v>16392000.000024594</c:v>
                </c:pt>
                <c:pt idx="945">
                  <c:v>16410000.000023942</c:v>
                </c:pt>
                <c:pt idx="946">
                  <c:v>16428000.000023309</c:v>
                </c:pt>
                <c:pt idx="947">
                  <c:v>16446000.000022694</c:v>
                </c:pt>
                <c:pt idx="948">
                  <c:v>16464000.000022098</c:v>
                </c:pt>
                <c:pt idx="949">
                  <c:v>16482000.000021514</c:v>
                </c:pt>
                <c:pt idx="950">
                  <c:v>16500000.000020947</c:v>
                </c:pt>
                <c:pt idx="951">
                  <c:v>16518000.000020396</c:v>
                </c:pt>
                <c:pt idx="952">
                  <c:v>16536000.000019856</c:v>
                </c:pt>
                <c:pt idx="953">
                  <c:v>16554000.000019331</c:v>
                </c:pt>
                <c:pt idx="954">
                  <c:v>16572000.000018824</c:v>
                </c:pt>
                <c:pt idx="955">
                  <c:v>16590000.000018321</c:v>
                </c:pt>
                <c:pt idx="956">
                  <c:v>16608000.000017844</c:v>
                </c:pt>
                <c:pt idx="957">
                  <c:v>16626000.000017367</c:v>
                </c:pt>
                <c:pt idx="958">
                  <c:v>16644000.000016909</c:v>
                </c:pt>
                <c:pt idx="959">
                  <c:v>16662000.000016466</c:v>
                </c:pt>
                <c:pt idx="960">
                  <c:v>16680000.000016034</c:v>
                </c:pt>
                <c:pt idx="961">
                  <c:v>16698000.000015609</c:v>
                </c:pt>
                <c:pt idx="962">
                  <c:v>16716000.000015195</c:v>
                </c:pt>
                <c:pt idx="963">
                  <c:v>16734000.000014801</c:v>
                </c:pt>
                <c:pt idx="964">
                  <c:v>16752000.000014402</c:v>
                </c:pt>
                <c:pt idx="965">
                  <c:v>16770000.000014026</c:v>
                </c:pt>
                <c:pt idx="966">
                  <c:v>16788000.000013657</c:v>
                </c:pt>
                <c:pt idx="967">
                  <c:v>16806000.000013296</c:v>
                </c:pt>
                <c:pt idx="968">
                  <c:v>16824000.000012945</c:v>
                </c:pt>
                <c:pt idx="969">
                  <c:v>16842000.000012603</c:v>
                </c:pt>
                <c:pt idx="970">
                  <c:v>16860000.000012271</c:v>
                </c:pt>
                <c:pt idx="971">
                  <c:v>16878000.000011947</c:v>
                </c:pt>
                <c:pt idx="972">
                  <c:v>16896000.000011634</c:v>
                </c:pt>
                <c:pt idx="973">
                  <c:v>16914000.000011325</c:v>
                </c:pt>
                <c:pt idx="974">
                  <c:v>16932000.000011027</c:v>
                </c:pt>
                <c:pt idx="975">
                  <c:v>16950000.000010736</c:v>
                </c:pt>
                <c:pt idx="976">
                  <c:v>16968000.000010453</c:v>
                </c:pt>
                <c:pt idx="977">
                  <c:v>16986000.000010177</c:v>
                </c:pt>
                <c:pt idx="978">
                  <c:v>17004000.000009909</c:v>
                </c:pt>
                <c:pt idx="979">
                  <c:v>17022000.000009649</c:v>
                </c:pt>
                <c:pt idx="980">
                  <c:v>17040000.000009395</c:v>
                </c:pt>
                <c:pt idx="981">
                  <c:v>17058000.000009149</c:v>
                </c:pt>
                <c:pt idx="982">
                  <c:v>17076000.000008907</c:v>
                </c:pt>
                <c:pt idx="983">
                  <c:v>17094000.000008672</c:v>
                </c:pt>
                <c:pt idx="984">
                  <c:v>17112000.000008442</c:v>
                </c:pt>
                <c:pt idx="985">
                  <c:v>17130000.000008218</c:v>
                </c:pt>
                <c:pt idx="986">
                  <c:v>17148000.000008002</c:v>
                </c:pt>
                <c:pt idx="987">
                  <c:v>17166000.000007793</c:v>
                </c:pt>
                <c:pt idx="988">
                  <c:v>17184000.000007585</c:v>
                </c:pt>
                <c:pt idx="989">
                  <c:v>17202000.000007384</c:v>
                </c:pt>
                <c:pt idx="990">
                  <c:v>17220000.000007194</c:v>
                </c:pt>
                <c:pt idx="991">
                  <c:v>17238000.000007</c:v>
                </c:pt>
                <c:pt idx="992">
                  <c:v>17256000.000006817</c:v>
                </c:pt>
                <c:pt idx="993">
                  <c:v>17274000.000006638</c:v>
                </c:pt>
                <c:pt idx="994">
                  <c:v>17292000.000006463</c:v>
                </c:pt>
                <c:pt idx="995">
                  <c:v>17310000.000006296</c:v>
                </c:pt>
                <c:pt idx="996">
                  <c:v>17328000.000006128</c:v>
                </c:pt>
                <c:pt idx="997">
                  <c:v>17346000.000005964</c:v>
                </c:pt>
                <c:pt idx="998">
                  <c:v>17364000.000005811</c:v>
                </c:pt>
                <c:pt idx="999">
                  <c:v>17382000.000005659</c:v>
                </c:pt>
                <c:pt idx="1000">
                  <c:v>17400000.000005506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97-453F-8E16-2128BEC476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3341184"/>
        <c:axId val="391462120"/>
      </c:lineChart>
      <c:catAx>
        <c:axId val="243341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462120"/>
        <c:crosses val="autoZero"/>
        <c:auto val="1"/>
        <c:lblAlgn val="ctr"/>
        <c:lblOffset val="100"/>
        <c:noMultiLvlLbl val="0"/>
      </c:catAx>
      <c:valAx>
        <c:axId val="391462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\ [$zł-415]_-;\-* #,##0.00\ [$zł-415]_-;_-* &quot;-&quot;??\ [$zł-415]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341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Wykres zależności kosztu kredytu ze stałą ratą od stopy procentowej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799313486624578"/>
          <c:y val="0.13964099898140753"/>
          <c:w val="0.83356681072028893"/>
          <c:h val="0.78355864937172703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6205205442373477"/>
                  <c:y val="0.6448498527056099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cat>
            <c:numRef>
              <c:f>'Lab4'!$E$6:$E$1006</c:f>
              <c:numCache>
                <c:formatCode>General</c:formatCode>
                <c:ptCount val="1001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8.9999999999999993E-3</c:v>
                </c:pt>
                <c:pt idx="10">
                  <c:v>0.01</c:v>
                </c:pt>
                <c:pt idx="11">
                  <c:v>1.0999999999999999E-2</c:v>
                </c:pt>
                <c:pt idx="12">
                  <c:v>1.2E-2</c:v>
                </c:pt>
                <c:pt idx="13">
                  <c:v>1.2999999999999999E-2</c:v>
                </c:pt>
                <c:pt idx="14">
                  <c:v>1.4E-2</c:v>
                </c:pt>
                <c:pt idx="15">
                  <c:v>1.4999999999999999E-2</c:v>
                </c:pt>
                <c:pt idx="16">
                  <c:v>1.6E-2</c:v>
                </c:pt>
                <c:pt idx="17">
                  <c:v>1.7000000000000001E-2</c:v>
                </c:pt>
                <c:pt idx="18">
                  <c:v>1.7999999999999999E-2</c:v>
                </c:pt>
                <c:pt idx="19">
                  <c:v>1.9E-2</c:v>
                </c:pt>
                <c:pt idx="20">
                  <c:v>0.02</c:v>
                </c:pt>
                <c:pt idx="21">
                  <c:v>2.1000000000000001E-2</c:v>
                </c:pt>
                <c:pt idx="22">
                  <c:v>2.1999999999999999E-2</c:v>
                </c:pt>
                <c:pt idx="23">
                  <c:v>2.3E-2</c:v>
                </c:pt>
                <c:pt idx="24">
                  <c:v>2.4E-2</c:v>
                </c:pt>
                <c:pt idx="25">
                  <c:v>2.5000000000000001E-2</c:v>
                </c:pt>
                <c:pt idx="26">
                  <c:v>2.5999999999999999E-2</c:v>
                </c:pt>
                <c:pt idx="27">
                  <c:v>2.7E-2</c:v>
                </c:pt>
                <c:pt idx="28">
                  <c:v>2.8000000000000001E-2</c:v>
                </c:pt>
                <c:pt idx="29">
                  <c:v>2.9000000000000001E-2</c:v>
                </c:pt>
                <c:pt idx="30">
                  <c:v>0.03</c:v>
                </c:pt>
                <c:pt idx="31">
                  <c:v>3.1E-2</c:v>
                </c:pt>
                <c:pt idx="32">
                  <c:v>3.2000000000000001E-2</c:v>
                </c:pt>
                <c:pt idx="33">
                  <c:v>3.3000000000000002E-2</c:v>
                </c:pt>
                <c:pt idx="34">
                  <c:v>3.4000000000000002E-2</c:v>
                </c:pt>
                <c:pt idx="35">
                  <c:v>3.5000000000000003E-2</c:v>
                </c:pt>
                <c:pt idx="36">
                  <c:v>3.5999999999999997E-2</c:v>
                </c:pt>
                <c:pt idx="37">
                  <c:v>3.6999999999999998E-2</c:v>
                </c:pt>
                <c:pt idx="38">
                  <c:v>3.7999999999999999E-2</c:v>
                </c:pt>
                <c:pt idx="39">
                  <c:v>3.9E-2</c:v>
                </c:pt>
                <c:pt idx="40">
                  <c:v>0.04</c:v>
                </c:pt>
                <c:pt idx="41">
                  <c:v>4.1000000000000002E-2</c:v>
                </c:pt>
                <c:pt idx="42">
                  <c:v>4.2000000000000003E-2</c:v>
                </c:pt>
                <c:pt idx="43">
                  <c:v>4.2999999999999997E-2</c:v>
                </c:pt>
                <c:pt idx="44">
                  <c:v>4.3999999999999997E-2</c:v>
                </c:pt>
                <c:pt idx="45">
                  <c:v>4.4999999999999998E-2</c:v>
                </c:pt>
                <c:pt idx="46">
                  <c:v>4.5999999999999999E-2</c:v>
                </c:pt>
                <c:pt idx="47">
                  <c:v>4.7E-2</c:v>
                </c:pt>
                <c:pt idx="48">
                  <c:v>4.8000000000000001E-2</c:v>
                </c:pt>
                <c:pt idx="49">
                  <c:v>4.9000000000000002E-2</c:v>
                </c:pt>
                <c:pt idx="50">
                  <c:v>0.05</c:v>
                </c:pt>
                <c:pt idx="51">
                  <c:v>5.0999999999999997E-2</c:v>
                </c:pt>
                <c:pt idx="52">
                  <c:v>5.1999999999999998E-2</c:v>
                </c:pt>
                <c:pt idx="53">
                  <c:v>5.2999999999999999E-2</c:v>
                </c:pt>
                <c:pt idx="54">
                  <c:v>5.3999999999999999E-2</c:v>
                </c:pt>
                <c:pt idx="55">
                  <c:v>5.5E-2</c:v>
                </c:pt>
                <c:pt idx="56">
                  <c:v>5.6000000000000001E-2</c:v>
                </c:pt>
                <c:pt idx="57">
                  <c:v>5.7000000000000002E-2</c:v>
                </c:pt>
                <c:pt idx="58">
                  <c:v>5.8000000000000003E-2</c:v>
                </c:pt>
                <c:pt idx="59">
                  <c:v>5.8999999999999997E-2</c:v>
                </c:pt>
                <c:pt idx="60">
                  <c:v>0.06</c:v>
                </c:pt>
                <c:pt idx="61">
                  <c:v>6.0999999999999999E-2</c:v>
                </c:pt>
                <c:pt idx="62">
                  <c:v>6.2E-2</c:v>
                </c:pt>
                <c:pt idx="63">
                  <c:v>6.3E-2</c:v>
                </c:pt>
                <c:pt idx="64">
                  <c:v>6.4000000000000001E-2</c:v>
                </c:pt>
                <c:pt idx="65">
                  <c:v>6.5000000000000002E-2</c:v>
                </c:pt>
                <c:pt idx="66">
                  <c:v>6.6000000000000003E-2</c:v>
                </c:pt>
                <c:pt idx="67">
                  <c:v>6.7000000000000004E-2</c:v>
                </c:pt>
                <c:pt idx="68">
                  <c:v>6.8000000000000005E-2</c:v>
                </c:pt>
                <c:pt idx="69">
                  <c:v>6.9000000000000006E-2</c:v>
                </c:pt>
                <c:pt idx="70">
                  <c:v>7.0000000000000007E-2</c:v>
                </c:pt>
                <c:pt idx="71">
                  <c:v>7.0999999999999994E-2</c:v>
                </c:pt>
                <c:pt idx="72">
                  <c:v>7.1999999999999995E-2</c:v>
                </c:pt>
                <c:pt idx="73">
                  <c:v>7.2999999999999995E-2</c:v>
                </c:pt>
                <c:pt idx="74">
                  <c:v>7.3999999999999996E-2</c:v>
                </c:pt>
                <c:pt idx="75">
                  <c:v>7.4999999999999997E-2</c:v>
                </c:pt>
                <c:pt idx="76">
                  <c:v>7.5999999999999998E-2</c:v>
                </c:pt>
                <c:pt idx="77">
                  <c:v>7.6999999999999999E-2</c:v>
                </c:pt>
                <c:pt idx="78">
                  <c:v>7.8E-2</c:v>
                </c:pt>
                <c:pt idx="79">
                  <c:v>7.9000000000000001E-2</c:v>
                </c:pt>
                <c:pt idx="80">
                  <c:v>0.08</c:v>
                </c:pt>
                <c:pt idx="81">
                  <c:v>8.1000000000000003E-2</c:v>
                </c:pt>
                <c:pt idx="82">
                  <c:v>8.2000000000000003E-2</c:v>
                </c:pt>
                <c:pt idx="83">
                  <c:v>8.3000000000000004E-2</c:v>
                </c:pt>
                <c:pt idx="84">
                  <c:v>8.4000000000000005E-2</c:v>
                </c:pt>
                <c:pt idx="85">
                  <c:v>8.5000000000000006E-2</c:v>
                </c:pt>
                <c:pt idx="86">
                  <c:v>8.5999999999999993E-2</c:v>
                </c:pt>
                <c:pt idx="87">
                  <c:v>8.6999999999999994E-2</c:v>
                </c:pt>
                <c:pt idx="88">
                  <c:v>8.7999999999999995E-2</c:v>
                </c:pt>
                <c:pt idx="89">
                  <c:v>8.8999999999999996E-2</c:v>
                </c:pt>
                <c:pt idx="90">
                  <c:v>0.09</c:v>
                </c:pt>
                <c:pt idx="91">
                  <c:v>9.0999999999999998E-2</c:v>
                </c:pt>
                <c:pt idx="92">
                  <c:v>9.1999999999999998E-2</c:v>
                </c:pt>
                <c:pt idx="93">
                  <c:v>9.2999999999999999E-2</c:v>
                </c:pt>
                <c:pt idx="94">
                  <c:v>9.4E-2</c:v>
                </c:pt>
                <c:pt idx="95">
                  <c:v>9.5000000000000001E-2</c:v>
                </c:pt>
                <c:pt idx="96">
                  <c:v>9.6000000000000002E-2</c:v>
                </c:pt>
                <c:pt idx="97">
                  <c:v>9.7000000000000003E-2</c:v>
                </c:pt>
                <c:pt idx="98">
                  <c:v>9.8000000000000004E-2</c:v>
                </c:pt>
                <c:pt idx="99">
                  <c:v>9.9000000000000005E-2</c:v>
                </c:pt>
                <c:pt idx="100">
                  <c:v>0.1</c:v>
                </c:pt>
                <c:pt idx="101">
                  <c:v>0.10100000000000001</c:v>
                </c:pt>
                <c:pt idx="102">
                  <c:v>0.10199999999999999</c:v>
                </c:pt>
                <c:pt idx="103">
                  <c:v>0.10299999999999999</c:v>
                </c:pt>
                <c:pt idx="104">
                  <c:v>0.104</c:v>
                </c:pt>
                <c:pt idx="105">
                  <c:v>0.105</c:v>
                </c:pt>
                <c:pt idx="106">
                  <c:v>0.106</c:v>
                </c:pt>
                <c:pt idx="107">
                  <c:v>0.107</c:v>
                </c:pt>
                <c:pt idx="108">
                  <c:v>0.108</c:v>
                </c:pt>
                <c:pt idx="109">
                  <c:v>0.109</c:v>
                </c:pt>
                <c:pt idx="110">
                  <c:v>0.11</c:v>
                </c:pt>
                <c:pt idx="111">
                  <c:v>0.111</c:v>
                </c:pt>
                <c:pt idx="112">
                  <c:v>0.112</c:v>
                </c:pt>
                <c:pt idx="113">
                  <c:v>0.113</c:v>
                </c:pt>
                <c:pt idx="114">
                  <c:v>0.114</c:v>
                </c:pt>
                <c:pt idx="115">
                  <c:v>0.115</c:v>
                </c:pt>
                <c:pt idx="116">
                  <c:v>0.11600000000000001</c:v>
                </c:pt>
                <c:pt idx="117">
                  <c:v>0.11700000000000001</c:v>
                </c:pt>
                <c:pt idx="118">
                  <c:v>0.11799999999999999</c:v>
                </c:pt>
                <c:pt idx="119">
                  <c:v>0.11899999999999999</c:v>
                </c:pt>
                <c:pt idx="120">
                  <c:v>0.12</c:v>
                </c:pt>
                <c:pt idx="121">
                  <c:v>0.121</c:v>
                </c:pt>
                <c:pt idx="122">
                  <c:v>0.122</c:v>
                </c:pt>
                <c:pt idx="123">
                  <c:v>0.123</c:v>
                </c:pt>
                <c:pt idx="124">
                  <c:v>0.124</c:v>
                </c:pt>
                <c:pt idx="125">
                  <c:v>0.125</c:v>
                </c:pt>
                <c:pt idx="126">
                  <c:v>0.126</c:v>
                </c:pt>
                <c:pt idx="127">
                  <c:v>0.127</c:v>
                </c:pt>
                <c:pt idx="128">
                  <c:v>0.128</c:v>
                </c:pt>
                <c:pt idx="129">
                  <c:v>0.129</c:v>
                </c:pt>
                <c:pt idx="130">
                  <c:v>0.13</c:v>
                </c:pt>
                <c:pt idx="131">
                  <c:v>0.13100000000000001</c:v>
                </c:pt>
                <c:pt idx="132">
                  <c:v>0.13200000000000001</c:v>
                </c:pt>
                <c:pt idx="133">
                  <c:v>0.13300000000000001</c:v>
                </c:pt>
                <c:pt idx="134">
                  <c:v>0.13400000000000001</c:v>
                </c:pt>
                <c:pt idx="135">
                  <c:v>0.13500000000000001</c:v>
                </c:pt>
                <c:pt idx="136">
                  <c:v>0.13600000000000001</c:v>
                </c:pt>
                <c:pt idx="137">
                  <c:v>0.13700000000000001</c:v>
                </c:pt>
                <c:pt idx="138">
                  <c:v>0.13800000000000001</c:v>
                </c:pt>
                <c:pt idx="139">
                  <c:v>0.13900000000000001</c:v>
                </c:pt>
                <c:pt idx="140">
                  <c:v>0.14000000000000001</c:v>
                </c:pt>
                <c:pt idx="141">
                  <c:v>0.14099999999999999</c:v>
                </c:pt>
                <c:pt idx="142">
                  <c:v>0.14199999999999999</c:v>
                </c:pt>
                <c:pt idx="143">
                  <c:v>0.14299999999999999</c:v>
                </c:pt>
                <c:pt idx="144">
                  <c:v>0.14399999999999999</c:v>
                </c:pt>
                <c:pt idx="145">
                  <c:v>0.14499999999999999</c:v>
                </c:pt>
                <c:pt idx="146">
                  <c:v>0.14599999999999999</c:v>
                </c:pt>
                <c:pt idx="147">
                  <c:v>0.14699999999999999</c:v>
                </c:pt>
                <c:pt idx="148">
                  <c:v>0.14799999999999999</c:v>
                </c:pt>
                <c:pt idx="149">
                  <c:v>0.14899999999999999</c:v>
                </c:pt>
                <c:pt idx="150">
                  <c:v>0.15</c:v>
                </c:pt>
                <c:pt idx="151">
                  <c:v>0.151</c:v>
                </c:pt>
                <c:pt idx="152">
                  <c:v>0.152</c:v>
                </c:pt>
                <c:pt idx="153">
                  <c:v>0.153</c:v>
                </c:pt>
                <c:pt idx="154">
                  <c:v>0.154</c:v>
                </c:pt>
                <c:pt idx="155">
                  <c:v>0.155</c:v>
                </c:pt>
                <c:pt idx="156">
                  <c:v>0.156</c:v>
                </c:pt>
                <c:pt idx="157">
                  <c:v>0.157</c:v>
                </c:pt>
                <c:pt idx="158">
                  <c:v>0.158</c:v>
                </c:pt>
                <c:pt idx="159">
                  <c:v>0.159</c:v>
                </c:pt>
                <c:pt idx="160">
                  <c:v>0.16</c:v>
                </c:pt>
                <c:pt idx="161">
                  <c:v>0.161</c:v>
                </c:pt>
                <c:pt idx="162">
                  <c:v>0.16200000000000001</c:v>
                </c:pt>
                <c:pt idx="163">
                  <c:v>0.16300000000000001</c:v>
                </c:pt>
                <c:pt idx="164">
                  <c:v>0.16400000000000001</c:v>
                </c:pt>
                <c:pt idx="165">
                  <c:v>0.16500000000000001</c:v>
                </c:pt>
                <c:pt idx="166">
                  <c:v>0.16600000000000001</c:v>
                </c:pt>
                <c:pt idx="167">
                  <c:v>0.16700000000000001</c:v>
                </c:pt>
                <c:pt idx="168">
                  <c:v>0.16800000000000001</c:v>
                </c:pt>
                <c:pt idx="169">
                  <c:v>0.16900000000000001</c:v>
                </c:pt>
                <c:pt idx="170">
                  <c:v>0.17</c:v>
                </c:pt>
                <c:pt idx="171">
                  <c:v>0.17100000000000001</c:v>
                </c:pt>
                <c:pt idx="172">
                  <c:v>0.17199999999999999</c:v>
                </c:pt>
                <c:pt idx="173">
                  <c:v>0.17299999999999999</c:v>
                </c:pt>
                <c:pt idx="174">
                  <c:v>0.17399999999999999</c:v>
                </c:pt>
                <c:pt idx="175">
                  <c:v>0.17499999999999999</c:v>
                </c:pt>
                <c:pt idx="176">
                  <c:v>0.17599999999999999</c:v>
                </c:pt>
                <c:pt idx="177">
                  <c:v>0.17699999999999999</c:v>
                </c:pt>
                <c:pt idx="178">
                  <c:v>0.17799999999999999</c:v>
                </c:pt>
                <c:pt idx="179">
                  <c:v>0.17899999999999999</c:v>
                </c:pt>
                <c:pt idx="180">
                  <c:v>0.18</c:v>
                </c:pt>
                <c:pt idx="181">
                  <c:v>0.18099999999999999</c:v>
                </c:pt>
                <c:pt idx="182">
                  <c:v>0.182</c:v>
                </c:pt>
                <c:pt idx="183">
                  <c:v>0.183</c:v>
                </c:pt>
                <c:pt idx="184">
                  <c:v>0.184</c:v>
                </c:pt>
                <c:pt idx="185">
                  <c:v>0.185</c:v>
                </c:pt>
                <c:pt idx="186">
                  <c:v>0.186</c:v>
                </c:pt>
                <c:pt idx="187">
                  <c:v>0.187</c:v>
                </c:pt>
                <c:pt idx="188">
                  <c:v>0.188</c:v>
                </c:pt>
                <c:pt idx="189">
                  <c:v>0.189</c:v>
                </c:pt>
                <c:pt idx="190">
                  <c:v>0.19</c:v>
                </c:pt>
                <c:pt idx="191">
                  <c:v>0.191</c:v>
                </c:pt>
                <c:pt idx="192">
                  <c:v>0.192</c:v>
                </c:pt>
                <c:pt idx="193">
                  <c:v>0.193</c:v>
                </c:pt>
                <c:pt idx="194">
                  <c:v>0.19400000000000001</c:v>
                </c:pt>
                <c:pt idx="195">
                  <c:v>0.19500000000000001</c:v>
                </c:pt>
                <c:pt idx="196">
                  <c:v>0.19600000000000001</c:v>
                </c:pt>
                <c:pt idx="197">
                  <c:v>0.19700000000000001</c:v>
                </c:pt>
                <c:pt idx="198">
                  <c:v>0.19800000000000001</c:v>
                </c:pt>
                <c:pt idx="199">
                  <c:v>0.19900000000000001</c:v>
                </c:pt>
                <c:pt idx="200">
                  <c:v>0.2</c:v>
                </c:pt>
                <c:pt idx="201">
                  <c:v>0.20100000000000001</c:v>
                </c:pt>
                <c:pt idx="202">
                  <c:v>0.20200000000000001</c:v>
                </c:pt>
                <c:pt idx="203">
                  <c:v>0.20300000000000001</c:v>
                </c:pt>
                <c:pt idx="204">
                  <c:v>0.20399999999999999</c:v>
                </c:pt>
                <c:pt idx="205">
                  <c:v>0.20499999999999999</c:v>
                </c:pt>
                <c:pt idx="206">
                  <c:v>0.20599999999999999</c:v>
                </c:pt>
                <c:pt idx="207">
                  <c:v>0.20699999999999999</c:v>
                </c:pt>
                <c:pt idx="208">
                  <c:v>0.20799999999999999</c:v>
                </c:pt>
                <c:pt idx="209">
                  <c:v>0.20899999999999999</c:v>
                </c:pt>
                <c:pt idx="210">
                  <c:v>0.21</c:v>
                </c:pt>
                <c:pt idx="211">
                  <c:v>0.21099999999999999</c:v>
                </c:pt>
                <c:pt idx="212">
                  <c:v>0.21199999999999999</c:v>
                </c:pt>
                <c:pt idx="213">
                  <c:v>0.21299999999999999</c:v>
                </c:pt>
                <c:pt idx="214">
                  <c:v>0.214</c:v>
                </c:pt>
                <c:pt idx="215">
                  <c:v>0.215</c:v>
                </c:pt>
                <c:pt idx="216">
                  <c:v>0.216</c:v>
                </c:pt>
                <c:pt idx="217">
                  <c:v>0.217</c:v>
                </c:pt>
                <c:pt idx="218">
                  <c:v>0.218</c:v>
                </c:pt>
                <c:pt idx="219">
                  <c:v>0.219</c:v>
                </c:pt>
                <c:pt idx="220">
                  <c:v>0.22</c:v>
                </c:pt>
                <c:pt idx="221">
                  <c:v>0.221</c:v>
                </c:pt>
                <c:pt idx="222">
                  <c:v>0.222</c:v>
                </c:pt>
                <c:pt idx="223">
                  <c:v>0.223</c:v>
                </c:pt>
                <c:pt idx="224">
                  <c:v>0.224</c:v>
                </c:pt>
                <c:pt idx="225">
                  <c:v>0.22500000000000001</c:v>
                </c:pt>
                <c:pt idx="226">
                  <c:v>0.22600000000000001</c:v>
                </c:pt>
                <c:pt idx="227">
                  <c:v>0.22700000000000001</c:v>
                </c:pt>
                <c:pt idx="228">
                  <c:v>0.22800000000000001</c:v>
                </c:pt>
                <c:pt idx="229">
                  <c:v>0.22900000000000001</c:v>
                </c:pt>
                <c:pt idx="230">
                  <c:v>0.23</c:v>
                </c:pt>
                <c:pt idx="231">
                  <c:v>0.23100000000000001</c:v>
                </c:pt>
                <c:pt idx="232">
                  <c:v>0.23200000000000001</c:v>
                </c:pt>
                <c:pt idx="233">
                  <c:v>0.23300000000000001</c:v>
                </c:pt>
                <c:pt idx="234">
                  <c:v>0.23400000000000001</c:v>
                </c:pt>
                <c:pt idx="235">
                  <c:v>0.23499999999999999</c:v>
                </c:pt>
                <c:pt idx="236">
                  <c:v>0.23599999999999999</c:v>
                </c:pt>
                <c:pt idx="237">
                  <c:v>0.23699999999999999</c:v>
                </c:pt>
                <c:pt idx="238">
                  <c:v>0.23799999999999999</c:v>
                </c:pt>
                <c:pt idx="239">
                  <c:v>0.23899999999999999</c:v>
                </c:pt>
                <c:pt idx="240">
                  <c:v>0.24</c:v>
                </c:pt>
                <c:pt idx="241">
                  <c:v>0.24099999999999999</c:v>
                </c:pt>
                <c:pt idx="242">
                  <c:v>0.24199999999999999</c:v>
                </c:pt>
                <c:pt idx="243">
                  <c:v>0.24299999999999999</c:v>
                </c:pt>
                <c:pt idx="244">
                  <c:v>0.24399999999999999</c:v>
                </c:pt>
                <c:pt idx="245">
                  <c:v>0.245</c:v>
                </c:pt>
                <c:pt idx="246">
                  <c:v>0.246</c:v>
                </c:pt>
                <c:pt idx="247">
                  <c:v>0.247</c:v>
                </c:pt>
                <c:pt idx="248">
                  <c:v>0.248</c:v>
                </c:pt>
                <c:pt idx="249">
                  <c:v>0.249</c:v>
                </c:pt>
                <c:pt idx="250">
                  <c:v>0.25</c:v>
                </c:pt>
                <c:pt idx="251">
                  <c:v>0.251</c:v>
                </c:pt>
                <c:pt idx="252">
                  <c:v>0.252</c:v>
                </c:pt>
                <c:pt idx="253">
                  <c:v>0.253</c:v>
                </c:pt>
                <c:pt idx="254">
                  <c:v>0.254</c:v>
                </c:pt>
                <c:pt idx="255">
                  <c:v>0.255</c:v>
                </c:pt>
                <c:pt idx="256">
                  <c:v>0.25600000000000001</c:v>
                </c:pt>
                <c:pt idx="257">
                  <c:v>0.25700000000000001</c:v>
                </c:pt>
                <c:pt idx="258">
                  <c:v>0.25800000000000001</c:v>
                </c:pt>
                <c:pt idx="259">
                  <c:v>0.25900000000000001</c:v>
                </c:pt>
                <c:pt idx="260">
                  <c:v>0.26</c:v>
                </c:pt>
                <c:pt idx="261">
                  <c:v>0.26100000000000001</c:v>
                </c:pt>
                <c:pt idx="262">
                  <c:v>0.26200000000000001</c:v>
                </c:pt>
                <c:pt idx="263">
                  <c:v>0.26300000000000001</c:v>
                </c:pt>
                <c:pt idx="264">
                  <c:v>0.26400000000000001</c:v>
                </c:pt>
                <c:pt idx="265">
                  <c:v>0.26500000000000001</c:v>
                </c:pt>
                <c:pt idx="266">
                  <c:v>0.26600000000000001</c:v>
                </c:pt>
                <c:pt idx="267">
                  <c:v>0.26700000000000002</c:v>
                </c:pt>
                <c:pt idx="268">
                  <c:v>0.26800000000000002</c:v>
                </c:pt>
                <c:pt idx="269">
                  <c:v>0.26900000000000002</c:v>
                </c:pt>
                <c:pt idx="270">
                  <c:v>0.27</c:v>
                </c:pt>
                <c:pt idx="271">
                  <c:v>0.27100000000000002</c:v>
                </c:pt>
                <c:pt idx="272">
                  <c:v>0.27200000000000002</c:v>
                </c:pt>
                <c:pt idx="273">
                  <c:v>0.27300000000000002</c:v>
                </c:pt>
                <c:pt idx="274">
                  <c:v>0.27400000000000002</c:v>
                </c:pt>
                <c:pt idx="275">
                  <c:v>0.27500000000000002</c:v>
                </c:pt>
                <c:pt idx="276">
                  <c:v>0.27600000000000002</c:v>
                </c:pt>
                <c:pt idx="277">
                  <c:v>0.27700000000000002</c:v>
                </c:pt>
                <c:pt idx="278">
                  <c:v>0.27800000000000002</c:v>
                </c:pt>
                <c:pt idx="279">
                  <c:v>0.27900000000000003</c:v>
                </c:pt>
                <c:pt idx="280">
                  <c:v>0.28000000000000003</c:v>
                </c:pt>
                <c:pt idx="281">
                  <c:v>0.28100000000000003</c:v>
                </c:pt>
                <c:pt idx="282">
                  <c:v>0.28199999999999997</c:v>
                </c:pt>
                <c:pt idx="283">
                  <c:v>0.28299999999999997</c:v>
                </c:pt>
                <c:pt idx="284">
                  <c:v>0.28399999999999997</c:v>
                </c:pt>
                <c:pt idx="285">
                  <c:v>0.28499999999999998</c:v>
                </c:pt>
                <c:pt idx="286">
                  <c:v>0.28599999999999998</c:v>
                </c:pt>
                <c:pt idx="287">
                  <c:v>0.28699999999999998</c:v>
                </c:pt>
                <c:pt idx="288">
                  <c:v>0.28799999999999998</c:v>
                </c:pt>
                <c:pt idx="289">
                  <c:v>0.28899999999999998</c:v>
                </c:pt>
                <c:pt idx="290">
                  <c:v>0.28999999999999998</c:v>
                </c:pt>
                <c:pt idx="291">
                  <c:v>0.29099999999999998</c:v>
                </c:pt>
                <c:pt idx="292">
                  <c:v>0.29199999999999998</c:v>
                </c:pt>
                <c:pt idx="293">
                  <c:v>0.29299999999999998</c:v>
                </c:pt>
                <c:pt idx="294">
                  <c:v>0.29399999999999998</c:v>
                </c:pt>
                <c:pt idx="295">
                  <c:v>0.29499999999999998</c:v>
                </c:pt>
                <c:pt idx="296">
                  <c:v>0.29599999999999999</c:v>
                </c:pt>
                <c:pt idx="297">
                  <c:v>0.29699999999999999</c:v>
                </c:pt>
                <c:pt idx="298">
                  <c:v>0.29799999999999999</c:v>
                </c:pt>
                <c:pt idx="299">
                  <c:v>0.29899999999999999</c:v>
                </c:pt>
                <c:pt idx="300">
                  <c:v>0.3</c:v>
                </c:pt>
                <c:pt idx="301">
                  <c:v>0.30099999999999999</c:v>
                </c:pt>
                <c:pt idx="302">
                  <c:v>0.30199999999999999</c:v>
                </c:pt>
                <c:pt idx="303">
                  <c:v>0.30299999999999999</c:v>
                </c:pt>
                <c:pt idx="304">
                  <c:v>0.30399999999999999</c:v>
                </c:pt>
                <c:pt idx="305">
                  <c:v>0.30499999999999999</c:v>
                </c:pt>
                <c:pt idx="306">
                  <c:v>0.30599999999999999</c:v>
                </c:pt>
                <c:pt idx="307">
                  <c:v>0.307</c:v>
                </c:pt>
                <c:pt idx="308">
                  <c:v>0.308</c:v>
                </c:pt>
                <c:pt idx="309">
                  <c:v>0.309</c:v>
                </c:pt>
                <c:pt idx="310">
                  <c:v>0.31</c:v>
                </c:pt>
                <c:pt idx="311">
                  <c:v>0.311</c:v>
                </c:pt>
                <c:pt idx="312">
                  <c:v>0.312</c:v>
                </c:pt>
                <c:pt idx="313">
                  <c:v>0.313</c:v>
                </c:pt>
                <c:pt idx="314">
                  <c:v>0.314</c:v>
                </c:pt>
                <c:pt idx="315">
                  <c:v>0.315</c:v>
                </c:pt>
                <c:pt idx="316">
                  <c:v>0.316</c:v>
                </c:pt>
                <c:pt idx="317">
                  <c:v>0.317</c:v>
                </c:pt>
                <c:pt idx="318">
                  <c:v>0.318</c:v>
                </c:pt>
                <c:pt idx="319">
                  <c:v>0.31900000000000001</c:v>
                </c:pt>
                <c:pt idx="320">
                  <c:v>0.32</c:v>
                </c:pt>
                <c:pt idx="321">
                  <c:v>0.32100000000000001</c:v>
                </c:pt>
                <c:pt idx="322">
                  <c:v>0.32200000000000001</c:v>
                </c:pt>
                <c:pt idx="323">
                  <c:v>0.32300000000000001</c:v>
                </c:pt>
                <c:pt idx="324">
                  <c:v>0.32400000000000001</c:v>
                </c:pt>
                <c:pt idx="325">
                  <c:v>0.32500000000000001</c:v>
                </c:pt>
                <c:pt idx="326">
                  <c:v>0.32600000000000001</c:v>
                </c:pt>
                <c:pt idx="327">
                  <c:v>0.32700000000000001</c:v>
                </c:pt>
                <c:pt idx="328">
                  <c:v>0.32800000000000001</c:v>
                </c:pt>
                <c:pt idx="329">
                  <c:v>0.32900000000000001</c:v>
                </c:pt>
                <c:pt idx="330">
                  <c:v>0.33</c:v>
                </c:pt>
                <c:pt idx="331">
                  <c:v>0.33100000000000002</c:v>
                </c:pt>
                <c:pt idx="332">
                  <c:v>0.33200000000000002</c:v>
                </c:pt>
                <c:pt idx="333">
                  <c:v>0.33300000000000002</c:v>
                </c:pt>
                <c:pt idx="334">
                  <c:v>0.33400000000000002</c:v>
                </c:pt>
                <c:pt idx="335">
                  <c:v>0.33500000000000002</c:v>
                </c:pt>
                <c:pt idx="336">
                  <c:v>0.33600000000000002</c:v>
                </c:pt>
                <c:pt idx="337">
                  <c:v>0.33700000000000002</c:v>
                </c:pt>
                <c:pt idx="338">
                  <c:v>0.33800000000000002</c:v>
                </c:pt>
                <c:pt idx="339">
                  <c:v>0.33900000000000002</c:v>
                </c:pt>
                <c:pt idx="340">
                  <c:v>0.34</c:v>
                </c:pt>
                <c:pt idx="341">
                  <c:v>0.34100000000000003</c:v>
                </c:pt>
                <c:pt idx="342">
                  <c:v>0.34200000000000003</c:v>
                </c:pt>
                <c:pt idx="343">
                  <c:v>0.34300000000000003</c:v>
                </c:pt>
                <c:pt idx="344">
                  <c:v>0.34399999999999997</c:v>
                </c:pt>
                <c:pt idx="345">
                  <c:v>0.34499999999999997</c:v>
                </c:pt>
                <c:pt idx="346">
                  <c:v>0.34599999999999997</c:v>
                </c:pt>
                <c:pt idx="347">
                  <c:v>0.34699999999999998</c:v>
                </c:pt>
                <c:pt idx="348">
                  <c:v>0.34799999999999998</c:v>
                </c:pt>
                <c:pt idx="349">
                  <c:v>0.34899999999999998</c:v>
                </c:pt>
                <c:pt idx="350">
                  <c:v>0.35</c:v>
                </c:pt>
                <c:pt idx="351">
                  <c:v>0.35099999999999998</c:v>
                </c:pt>
                <c:pt idx="352">
                  <c:v>0.35199999999999998</c:v>
                </c:pt>
                <c:pt idx="353">
                  <c:v>0.35299999999999998</c:v>
                </c:pt>
                <c:pt idx="354">
                  <c:v>0.35399999999999998</c:v>
                </c:pt>
                <c:pt idx="355">
                  <c:v>0.35499999999999998</c:v>
                </c:pt>
                <c:pt idx="356">
                  <c:v>0.35599999999999998</c:v>
                </c:pt>
                <c:pt idx="357">
                  <c:v>0.35699999999999998</c:v>
                </c:pt>
                <c:pt idx="358">
                  <c:v>0.35799999999999998</c:v>
                </c:pt>
                <c:pt idx="359">
                  <c:v>0.35899999999999999</c:v>
                </c:pt>
                <c:pt idx="360">
                  <c:v>0.36</c:v>
                </c:pt>
                <c:pt idx="361">
                  <c:v>0.36099999999999999</c:v>
                </c:pt>
                <c:pt idx="362">
                  <c:v>0.36199999999999999</c:v>
                </c:pt>
                <c:pt idx="363">
                  <c:v>0.36299999999999999</c:v>
                </c:pt>
                <c:pt idx="364">
                  <c:v>0.36399999999999999</c:v>
                </c:pt>
                <c:pt idx="365">
                  <c:v>0.36499999999999999</c:v>
                </c:pt>
                <c:pt idx="366">
                  <c:v>0.36599999999999999</c:v>
                </c:pt>
                <c:pt idx="367">
                  <c:v>0.36699999999999999</c:v>
                </c:pt>
                <c:pt idx="368">
                  <c:v>0.36799999999999999</c:v>
                </c:pt>
                <c:pt idx="369">
                  <c:v>0.36899999999999999</c:v>
                </c:pt>
                <c:pt idx="370">
                  <c:v>0.37</c:v>
                </c:pt>
                <c:pt idx="371">
                  <c:v>0.371</c:v>
                </c:pt>
                <c:pt idx="372">
                  <c:v>0.372</c:v>
                </c:pt>
                <c:pt idx="373">
                  <c:v>0.373</c:v>
                </c:pt>
                <c:pt idx="374">
                  <c:v>0.374</c:v>
                </c:pt>
                <c:pt idx="375">
                  <c:v>0.375</c:v>
                </c:pt>
                <c:pt idx="376">
                  <c:v>0.376</c:v>
                </c:pt>
                <c:pt idx="377">
                  <c:v>0.377</c:v>
                </c:pt>
                <c:pt idx="378">
                  <c:v>0.378</c:v>
                </c:pt>
                <c:pt idx="379">
                  <c:v>0.379</c:v>
                </c:pt>
                <c:pt idx="380">
                  <c:v>0.38</c:v>
                </c:pt>
                <c:pt idx="381">
                  <c:v>0.38100000000000001</c:v>
                </c:pt>
                <c:pt idx="382">
                  <c:v>0.38200000000000001</c:v>
                </c:pt>
                <c:pt idx="383">
                  <c:v>0.38300000000000001</c:v>
                </c:pt>
                <c:pt idx="384">
                  <c:v>0.38400000000000001</c:v>
                </c:pt>
                <c:pt idx="385">
                  <c:v>0.38500000000000001</c:v>
                </c:pt>
                <c:pt idx="386">
                  <c:v>0.38600000000000001</c:v>
                </c:pt>
                <c:pt idx="387">
                  <c:v>0.38700000000000001</c:v>
                </c:pt>
                <c:pt idx="388">
                  <c:v>0.38800000000000001</c:v>
                </c:pt>
                <c:pt idx="389">
                  <c:v>0.38900000000000001</c:v>
                </c:pt>
                <c:pt idx="390">
                  <c:v>0.39</c:v>
                </c:pt>
                <c:pt idx="391">
                  <c:v>0.39100000000000001</c:v>
                </c:pt>
                <c:pt idx="392">
                  <c:v>0.39200000000000002</c:v>
                </c:pt>
                <c:pt idx="393">
                  <c:v>0.39300000000000002</c:v>
                </c:pt>
                <c:pt idx="394">
                  <c:v>0.39400000000000002</c:v>
                </c:pt>
                <c:pt idx="395">
                  <c:v>0.39500000000000002</c:v>
                </c:pt>
                <c:pt idx="396">
                  <c:v>0.39600000000000002</c:v>
                </c:pt>
                <c:pt idx="397">
                  <c:v>0.39700000000000002</c:v>
                </c:pt>
                <c:pt idx="398">
                  <c:v>0.39800000000000002</c:v>
                </c:pt>
                <c:pt idx="399">
                  <c:v>0.39900000000000002</c:v>
                </c:pt>
                <c:pt idx="400">
                  <c:v>0.4</c:v>
                </c:pt>
                <c:pt idx="401">
                  <c:v>0.40100000000000002</c:v>
                </c:pt>
                <c:pt idx="402">
                  <c:v>0.40200000000000002</c:v>
                </c:pt>
                <c:pt idx="403">
                  <c:v>0.40300000000000002</c:v>
                </c:pt>
                <c:pt idx="404">
                  <c:v>0.40400000000000003</c:v>
                </c:pt>
                <c:pt idx="405">
                  <c:v>0.40500000000000003</c:v>
                </c:pt>
                <c:pt idx="406">
                  <c:v>0.40600000000000003</c:v>
                </c:pt>
                <c:pt idx="407">
                  <c:v>0.40699999999999997</c:v>
                </c:pt>
                <c:pt idx="408">
                  <c:v>0.40799999999999997</c:v>
                </c:pt>
                <c:pt idx="409">
                  <c:v>0.40899999999999997</c:v>
                </c:pt>
                <c:pt idx="410">
                  <c:v>0.41</c:v>
                </c:pt>
                <c:pt idx="411">
                  <c:v>0.41099999999999998</c:v>
                </c:pt>
                <c:pt idx="412">
                  <c:v>0.41199999999999998</c:v>
                </c:pt>
                <c:pt idx="413">
                  <c:v>0.41299999999999998</c:v>
                </c:pt>
                <c:pt idx="414">
                  <c:v>0.41399999999999998</c:v>
                </c:pt>
                <c:pt idx="415">
                  <c:v>0.41499999999999998</c:v>
                </c:pt>
                <c:pt idx="416">
                  <c:v>0.41599999999999998</c:v>
                </c:pt>
                <c:pt idx="417">
                  <c:v>0.41699999999999998</c:v>
                </c:pt>
                <c:pt idx="418">
                  <c:v>0.41799999999999998</c:v>
                </c:pt>
                <c:pt idx="419">
                  <c:v>0.41899999999999998</c:v>
                </c:pt>
                <c:pt idx="420">
                  <c:v>0.42</c:v>
                </c:pt>
                <c:pt idx="421">
                  <c:v>0.42099999999999999</c:v>
                </c:pt>
                <c:pt idx="422">
                  <c:v>0.42199999999999999</c:v>
                </c:pt>
                <c:pt idx="423">
                  <c:v>0.42299999999999999</c:v>
                </c:pt>
                <c:pt idx="424">
                  <c:v>0.42399999999999999</c:v>
                </c:pt>
                <c:pt idx="425">
                  <c:v>0.42499999999999999</c:v>
                </c:pt>
                <c:pt idx="426">
                  <c:v>0.42599999999999999</c:v>
                </c:pt>
                <c:pt idx="427">
                  <c:v>0.42699999999999999</c:v>
                </c:pt>
                <c:pt idx="428">
                  <c:v>0.42799999999999999</c:v>
                </c:pt>
                <c:pt idx="429">
                  <c:v>0.42899999999999999</c:v>
                </c:pt>
                <c:pt idx="430">
                  <c:v>0.43</c:v>
                </c:pt>
                <c:pt idx="431">
                  <c:v>0.43099999999999999</c:v>
                </c:pt>
                <c:pt idx="432">
                  <c:v>0.432</c:v>
                </c:pt>
                <c:pt idx="433">
                  <c:v>0.433</c:v>
                </c:pt>
                <c:pt idx="434">
                  <c:v>0.434</c:v>
                </c:pt>
                <c:pt idx="435">
                  <c:v>0.435</c:v>
                </c:pt>
                <c:pt idx="436">
                  <c:v>0.436</c:v>
                </c:pt>
                <c:pt idx="437">
                  <c:v>0.437</c:v>
                </c:pt>
                <c:pt idx="438">
                  <c:v>0.438</c:v>
                </c:pt>
                <c:pt idx="439">
                  <c:v>0.439</c:v>
                </c:pt>
                <c:pt idx="440">
                  <c:v>0.44</c:v>
                </c:pt>
                <c:pt idx="441">
                  <c:v>0.441</c:v>
                </c:pt>
                <c:pt idx="442">
                  <c:v>0.442</c:v>
                </c:pt>
                <c:pt idx="443">
                  <c:v>0.443</c:v>
                </c:pt>
                <c:pt idx="444">
                  <c:v>0.44400000000000001</c:v>
                </c:pt>
                <c:pt idx="445">
                  <c:v>0.44500000000000001</c:v>
                </c:pt>
                <c:pt idx="446">
                  <c:v>0.44600000000000001</c:v>
                </c:pt>
                <c:pt idx="447">
                  <c:v>0.44700000000000001</c:v>
                </c:pt>
                <c:pt idx="448">
                  <c:v>0.44800000000000001</c:v>
                </c:pt>
                <c:pt idx="449">
                  <c:v>0.44900000000000001</c:v>
                </c:pt>
                <c:pt idx="450">
                  <c:v>0.45</c:v>
                </c:pt>
                <c:pt idx="451">
                  <c:v>0.45100000000000001</c:v>
                </c:pt>
                <c:pt idx="452">
                  <c:v>0.45200000000000001</c:v>
                </c:pt>
                <c:pt idx="453">
                  <c:v>0.45300000000000001</c:v>
                </c:pt>
                <c:pt idx="454">
                  <c:v>0.45400000000000001</c:v>
                </c:pt>
                <c:pt idx="455">
                  <c:v>0.45500000000000002</c:v>
                </c:pt>
                <c:pt idx="456">
                  <c:v>0.45600000000000002</c:v>
                </c:pt>
                <c:pt idx="457">
                  <c:v>0.45700000000000002</c:v>
                </c:pt>
                <c:pt idx="458">
                  <c:v>0.45800000000000002</c:v>
                </c:pt>
                <c:pt idx="459">
                  <c:v>0.45900000000000002</c:v>
                </c:pt>
                <c:pt idx="460">
                  <c:v>0.46</c:v>
                </c:pt>
                <c:pt idx="461">
                  <c:v>0.46100000000000002</c:v>
                </c:pt>
                <c:pt idx="462">
                  <c:v>0.46200000000000002</c:v>
                </c:pt>
                <c:pt idx="463">
                  <c:v>0.46300000000000002</c:v>
                </c:pt>
                <c:pt idx="464">
                  <c:v>0.46400000000000002</c:v>
                </c:pt>
                <c:pt idx="465">
                  <c:v>0.46500000000000002</c:v>
                </c:pt>
                <c:pt idx="466">
                  <c:v>0.46600000000000003</c:v>
                </c:pt>
                <c:pt idx="467">
                  <c:v>0.46700000000000003</c:v>
                </c:pt>
                <c:pt idx="468">
                  <c:v>0.46800000000000003</c:v>
                </c:pt>
                <c:pt idx="469">
                  <c:v>0.46899999999999997</c:v>
                </c:pt>
                <c:pt idx="470">
                  <c:v>0.47</c:v>
                </c:pt>
                <c:pt idx="471">
                  <c:v>0.47099999999999997</c:v>
                </c:pt>
                <c:pt idx="472">
                  <c:v>0.47199999999999998</c:v>
                </c:pt>
                <c:pt idx="473">
                  <c:v>0.47299999999999998</c:v>
                </c:pt>
                <c:pt idx="474">
                  <c:v>0.47399999999999998</c:v>
                </c:pt>
                <c:pt idx="475">
                  <c:v>0.47499999999999998</c:v>
                </c:pt>
                <c:pt idx="476">
                  <c:v>0.47599999999999998</c:v>
                </c:pt>
                <c:pt idx="477">
                  <c:v>0.47699999999999998</c:v>
                </c:pt>
                <c:pt idx="478">
                  <c:v>0.47799999999999998</c:v>
                </c:pt>
                <c:pt idx="479">
                  <c:v>0.47899999999999998</c:v>
                </c:pt>
                <c:pt idx="480">
                  <c:v>0.48</c:v>
                </c:pt>
                <c:pt idx="481">
                  <c:v>0.48099999999999998</c:v>
                </c:pt>
                <c:pt idx="482">
                  <c:v>0.48199999999999998</c:v>
                </c:pt>
                <c:pt idx="483">
                  <c:v>0.48299999999999998</c:v>
                </c:pt>
                <c:pt idx="484">
                  <c:v>0.48399999999999999</c:v>
                </c:pt>
                <c:pt idx="485">
                  <c:v>0.48499999999999999</c:v>
                </c:pt>
                <c:pt idx="486">
                  <c:v>0.48599999999999999</c:v>
                </c:pt>
                <c:pt idx="487">
                  <c:v>0.48699999999999999</c:v>
                </c:pt>
                <c:pt idx="488">
                  <c:v>0.48799999999999999</c:v>
                </c:pt>
                <c:pt idx="489">
                  <c:v>0.48899999999999999</c:v>
                </c:pt>
                <c:pt idx="490">
                  <c:v>0.49</c:v>
                </c:pt>
                <c:pt idx="491">
                  <c:v>0.49099999999999999</c:v>
                </c:pt>
                <c:pt idx="492">
                  <c:v>0.49199999999999999</c:v>
                </c:pt>
                <c:pt idx="493">
                  <c:v>0.49299999999999999</c:v>
                </c:pt>
                <c:pt idx="494">
                  <c:v>0.49399999999999999</c:v>
                </c:pt>
                <c:pt idx="495">
                  <c:v>0.495</c:v>
                </c:pt>
                <c:pt idx="496">
                  <c:v>0.496</c:v>
                </c:pt>
                <c:pt idx="497">
                  <c:v>0.497</c:v>
                </c:pt>
                <c:pt idx="498">
                  <c:v>0.498</c:v>
                </c:pt>
                <c:pt idx="499">
                  <c:v>0.499</c:v>
                </c:pt>
                <c:pt idx="500">
                  <c:v>0.5</c:v>
                </c:pt>
                <c:pt idx="501">
                  <c:v>0.501</c:v>
                </c:pt>
                <c:pt idx="502">
                  <c:v>0.502</c:v>
                </c:pt>
                <c:pt idx="503">
                  <c:v>0.503</c:v>
                </c:pt>
                <c:pt idx="504">
                  <c:v>0.504</c:v>
                </c:pt>
                <c:pt idx="505">
                  <c:v>0.505</c:v>
                </c:pt>
                <c:pt idx="506">
                  <c:v>0.50600000000000001</c:v>
                </c:pt>
                <c:pt idx="507">
                  <c:v>0.50700000000000001</c:v>
                </c:pt>
                <c:pt idx="508">
                  <c:v>0.50800000000000001</c:v>
                </c:pt>
                <c:pt idx="509">
                  <c:v>0.50900000000000001</c:v>
                </c:pt>
                <c:pt idx="510">
                  <c:v>0.51</c:v>
                </c:pt>
                <c:pt idx="511">
                  <c:v>0.51100000000000001</c:v>
                </c:pt>
                <c:pt idx="512">
                  <c:v>0.51200000000000001</c:v>
                </c:pt>
                <c:pt idx="513">
                  <c:v>0.51300000000000001</c:v>
                </c:pt>
                <c:pt idx="514">
                  <c:v>0.51400000000000001</c:v>
                </c:pt>
                <c:pt idx="515">
                  <c:v>0.51500000000000001</c:v>
                </c:pt>
                <c:pt idx="516">
                  <c:v>0.51600000000000001</c:v>
                </c:pt>
                <c:pt idx="517">
                  <c:v>0.51700000000000002</c:v>
                </c:pt>
                <c:pt idx="518">
                  <c:v>0.51800000000000002</c:v>
                </c:pt>
                <c:pt idx="519">
                  <c:v>0.51900000000000002</c:v>
                </c:pt>
                <c:pt idx="520">
                  <c:v>0.52</c:v>
                </c:pt>
                <c:pt idx="521">
                  <c:v>0.52100000000000002</c:v>
                </c:pt>
                <c:pt idx="522">
                  <c:v>0.52200000000000002</c:v>
                </c:pt>
                <c:pt idx="523">
                  <c:v>0.52300000000000002</c:v>
                </c:pt>
                <c:pt idx="524">
                  <c:v>0.52400000000000002</c:v>
                </c:pt>
                <c:pt idx="525">
                  <c:v>0.52500000000000002</c:v>
                </c:pt>
                <c:pt idx="526">
                  <c:v>0.52600000000000002</c:v>
                </c:pt>
                <c:pt idx="527">
                  <c:v>0.52700000000000002</c:v>
                </c:pt>
                <c:pt idx="528">
                  <c:v>0.52800000000000002</c:v>
                </c:pt>
                <c:pt idx="529">
                  <c:v>0.52900000000000003</c:v>
                </c:pt>
                <c:pt idx="530">
                  <c:v>0.53</c:v>
                </c:pt>
                <c:pt idx="531">
                  <c:v>0.53100000000000003</c:v>
                </c:pt>
                <c:pt idx="532">
                  <c:v>0.53200000000000003</c:v>
                </c:pt>
                <c:pt idx="533">
                  <c:v>0.53300000000000003</c:v>
                </c:pt>
                <c:pt idx="534">
                  <c:v>0.53400000000000003</c:v>
                </c:pt>
                <c:pt idx="535">
                  <c:v>0.53500000000000003</c:v>
                </c:pt>
                <c:pt idx="536">
                  <c:v>0.53600000000000003</c:v>
                </c:pt>
                <c:pt idx="537">
                  <c:v>0.53700000000000003</c:v>
                </c:pt>
                <c:pt idx="538">
                  <c:v>0.53800000000000003</c:v>
                </c:pt>
                <c:pt idx="539">
                  <c:v>0.53900000000000003</c:v>
                </c:pt>
                <c:pt idx="540">
                  <c:v>0.54</c:v>
                </c:pt>
                <c:pt idx="541">
                  <c:v>0.54100000000000004</c:v>
                </c:pt>
                <c:pt idx="542">
                  <c:v>0.54200000000000004</c:v>
                </c:pt>
                <c:pt idx="543">
                  <c:v>0.54300000000000004</c:v>
                </c:pt>
                <c:pt idx="544">
                  <c:v>0.54400000000000004</c:v>
                </c:pt>
                <c:pt idx="545">
                  <c:v>0.54500000000000004</c:v>
                </c:pt>
                <c:pt idx="546">
                  <c:v>0.54600000000000004</c:v>
                </c:pt>
                <c:pt idx="547">
                  <c:v>0.54700000000000004</c:v>
                </c:pt>
                <c:pt idx="548">
                  <c:v>0.54800000000000004</c:v>
                </c:pt>
                <c:pt idx="549">
                  <c:v>0.54900000000000004</c:v>
                </c:pt>
                <c:pt idx="550">
                  <c:v>0.55000000000000004</c:v>
                </c:pt>
                <c:pt idx="551">
                  <c:v>0.55100000000000005</c:v>
                </c:pt>
                <c:pt idx="552">
                  <c:v>0.55200000000000005</c:v>
                </c:pt>
                <c:pt idx="553">
                  <c:v>0.55300000000000005</c:v>
                </c:pt>
                <c:pt idx="554">
                  <c:v>0.55400000000000005</c:v>
                </c:pt>
                <c:pt idx="555">
                  <c:v>0.55500000000000005</c:v>
                </c:pt>
                <c:pt idx="556">
                  <c:v>0.55600000000000005</c:v>
                </c:pt>
                <c:pt idx="557">
                  <c:v>0.55700000000000005</c:v>
                </c:pt>
                <c:pt idx="558">
                  <c:v>0.55800000000000005</c:v>
                </c:pt>
                <c:pt idx="559">
                  <c:v>0.55900000000000005</c:v>
                </c:pt>
                <c:pt idx="560">
                  <c:v>0.56000000000000005</c:v>
                </c:pt>
                <c:pt idx="561">
                  <c:v>0.56100000000000005</c:v>
                </c:pt>
                <c:pt idx="562">
                  <c:v>0.56200000000000006</c:v>
                </c:pt>
                <c:pt idx="563">
                  <c:v>0.56299999999999994</c:v>
                </c:pt>
                <c:pt idx="564">
                  <c:v>0.56399999999999995</c:v>
                </c:pt>
                <c:pt idx="565">
                  <c:v>0.56499999999999995</c:v>
                </c:pt>
                <c:pt idx="566">
                  <c:v>0.56599999999999995</c:v>
                </c:pt>
                <c:pt idx="567">
                  <c:v>0.56699999999999995</c:v>
                </c:pt>
                <c:pt idx="568">
                  <c:v>0.56799999999999995</c:v>
                </c:pt>
                <c:pt idx="569">
                  <c:v>0.56899999999999995</c:v>
                </c:pt>
                <c:pt idx="570">
                  <c:v>0.56999999999999995</c:v>
                </c:pt>
                <c:pt idx="571">
                  <c:v>0.57099999999999995</c:v>
                </c:pt>
                <c:pt idx="572">
                  <c:v>0.57199999999999995</c:v>
                </c:pt>
                <c:pt idx="573">
                  <c:v>0.57299999999999995</c:v>
                </c:pt>
                <c:pt idx="574">
                  <c:v>0.57399999999999995</c:v>
                </c:pt>
                <c:pt idx="575">
                  <c:v>0.57499999999999996</c:v>
                </c:pt>
                <c:pt idx="576">
                  <c:v>0.57599999999999996</c:v>
                </c:pt>
                <c:pt idx="577">
                  <c:v>0.57699999999999996</c:v>
                </c:pt>
                <c:pt idx="578">
                  <c:v>0.57799999999999996</c:v>
                </c:pt>
                <c:pt idx="579">
                  <c:v>0.57899999999999996</c:v>
                </c:pt>
                <c:pt idx="580">
                  <c:v>0.57999999999999996</c:v>
                </c:pt>
                <c:pt idx="581">
                  <c:v>0.58099999999999996</c:v>
                </c:pt>
                <c:pt idx="582">
                  <c:v>0.58199999999999996</c:v>
                </c:pt>
                <c:pt idx="583">
                  <c:v>0.58299999999999996</c:v>
                </c:pt>
                <c:pt idx="584">
                  <c:v>0.58399999999999996</c:v>
                </c:pt>
                <c:pt idx="585">
                  <c:v>0.58499999999999996</c:v>
                </c:pt>
                <c:pt idx="586">
                  <c:v>0.58599999999999997</c:v>
                </c:pt>
                <c:pt idx="587">
                  <c:v>0.58699999999999997</c:v>
                </c:pt>
                <c:pt idx="588">
                  <c:v>0.58799999999999997</c:v>
                </c:pt>
                <c:pt idx="589">
                  <c:v>0.58899999999999997</c:v>
                </c:pt>
                <c:pt idx="590">
                  <c:v>0.59</c:v>
                </c:pt>
                <c:pt idx="591">
                  <c:v>0.59099999999999997</c:v>
                </c:pt>
                <c:pt idx="592">
                  <c:v>0.59199999999999997</c:v>
                </c:pt>
                <c:pt idx="593">
                  <c:v>0.59299999999999997</c:v>
                </c:pt>
                <c:pt idx="594">
                  <c:v>0.59399999999999997</c:v>
                </c:pt>
                <c:pt idx="595">
                  <c:v>0.59499999999999997</c:v>
                </c:pt>
                <c:pt idx="596">
                  <c:v>0.59599999999999997</c:v>
                </c:pt>
                <c:pt idx="597">
                  <c:v>0.59699999999999998</c:v>
                </c:pt>
                <c:pt idx="598">
                  <c:v>0.59799999999999998</c:v>
                </c:pt>
                <c:pt idx="599">
                  <c:v>0.59899999999999998</c:v>
                </c:pt>
                <c:pt idx="600">
                  <c:v>0.6</c:v>
                </c:pt>
                <c:pt idx="601">
                  <c:v>0.60099999999999998</c:v>
                </c:pt>
                <c:pt idx="602">
                  <c:v>0.60199999999999998</c:v>
                </c:pt>
                <c:pt idx="603">
                  <c:v>0.60299999999999998</c:v>
                </c:pt>
                <c:pt idx="604">
                  <c:v>0.60399999999999998</c:v>
                </c:pt>
                <c:pt idx="605">
                  <c:v>0.60499999999999998</c:v>
                </c:pt>
                <c:pt idx="606">
                  <c:v>0.60599999999999998</c:v>
                </c:pt>
                <c:pt idx="607">
                  <c:v>0.60699999999999998</c:v>
                </c:pt>
                <c:pt idx="608">
                  <c:v>0.60799999999999998</c:v>
                </c:pt>
                <c:pt idx="609">
                  <c:v>0.60899999999999999</c:v>
                </c:pt>
                <c:pt idx="610">
                  <c:v>0.61</c:v>
                </c:pt>
                <c:pt idx="611">
                  <c:v>0.61099999999999999</c:v>
                </c:pt>
                <c:pt idx="612">
                  <c:v>0.61199999999999999</c:v>
                </c:pt>
                <c:pt idx="613">
                  <c:v>0.61299999999999999</c:v>
                </c:pt>
                <c:pt idx="614">
                  <c:v>0.61399999999999999</c:v>
                </c:pt>
                <c:pt idx="615">
                  <c:v>0.61499999999999999</c:v>
                </c:pt>
                <c:pt idx="616">
                  <c:v>0.61599999999999999</c:v>
                </c:pt>
                <c:pt idx="617">
                  <c:v>0.61699999999999999</c:v>
                </c:pt>
                <c:pt idx="618">
                  <c:v>0.61799999999999999</c:v>
                </c:pt>
                <c:pt idx="619">
                  <c:v>0.61899999999999999</c:v>
                </c:pt>
                <c:pt idx="620">
                  <c:v>0.62</c:v>
                </c:pt>
                <c:pt idx="621">
                  <c:v>0.621</c:v>
                </c:pt>
                <c:pt idx="622">
                  <c:v>0.622</c:v>
                </c:pt>
                <c:pt idx="623">
                  <c:v>0.623</c:v>
                </c:pt>
                <c:pt idx="624">
                  <c:v>0.624</c:v>
                </c:pt>
                <c:pt idx="625">
                  <c:v>0.625</c:v>
                </c:pt>
                <c:pt idx="626">
                  <c:v>0.626</c:v>
                </c:pt>
                <c:pt idx="627">
                  <c:v>0.627</c:v>
                </c:pt>
                <c:pt idx="628">
                  <c:v>0.628</c:v>
                </c:pt>
                <c:pt idx="629">
                  <c:v>0.629</c:v>
                </c:pt>
                <c:pt idx="630">
                  <c:v>0.63</c:v>
                </c:pt>
                <c:pt idx="631">
                  <c:v>0.63100000000000001</c:v>
                </c:pt>
                <c:pt idx="632">
                  <c:v>0.63200000000000001</c:v>
                </c:pt>
                <c:pt idx="633">
                  <c:v>0.63300000000000001</c:v>
                </c:pt>
                <c:pt idx="634">
                  <c:v>0.63400000000000001</c:v>
                </c:pt>
                <c:pt idx="635">
                  <c:v>0.63500000000000001</c:v>
                </c:pt>
                <c:pt idx="636">
                  <c:v>0.63600000000000001</c:v>
                </c:pt>
                <c:pt idx="637">
                  <c:v>0.63700000000000001</c:v>
                </c:pt>
                <c:pt idx="638">
                  <c:v>0.63800000000000001</c:v>
                </c:pt>
                <c:pt idx="639">
                  <c:v>0.63900000000000001</c:v>
                </c:pt>
                <c:pt idx="640">
                  <c:v>0.64</c:v>
                </c:pt>
                <c:pt idx="641">
                  <c:v>0.64100000000000001</c:v>
                </c:pt>
                <c:pt idx="642">
                  <c:v>0.64200000000000002</c:v>
                </c:pt>
                <c:pt idx="643">
                  <c:v>0.64300000000000002</c:v>
                </c:pt>
                <c:pt idx="644">
                  <c:v>0.64400000000000002</c:v>
                </c:pt>
                <c:pt idx="645">
                  <c:v>0.64500000000000002</c:v>
                </c:pt>
                <c:pt idx="646">
                  <c:v>0.64600000000000002</c:v>
                </c:pt>
                <c:pt idx="647">
                  <c:v>0.64700000000000002</c:v>
                </c:pt>
                <c:pt idx="648">
                  <c:v>0.64800000000000002</c:v>
                </c:pt>
                <c:pt idx="649">
                  <c:v>0.64900000000000002</c:v>
                </c:pt>
                <c:pt idx="650">
                  <c:v>0.65</c:v>
                </c:pt>
                <c:pt idx="651">
                  <c:v>0.65100000000000002</c:v>
                </c:pt>
                <c:pt idx="652">
                  <c:v>0.65200000000000002</c:v>
                </c:pt>
                <c:pt idx="653">
                  <c:v>0.65300000000000002</c:v>
                </c:pt>
                <c:pt idx="654">
                  <c:v>0.65400000000000003</c:v>
                </c:pt>
                <c:pt idx="655">
                  <c:v>0.65500000000000003</c:v>
                </c:pt>
                <c:pt idx="656">
                  <c:v>0.65600000000000003</c:v>
                </c:pt>
                <c:pt idx="657">
                  <c:v>0.65700000000000003</c:v>
                </c:pt>
                <c:pt idx="658">
                  <c:v>0.65800000000000003</c:v>
                </c:pt>
                <c:pt idx="659">
                  <c:v>0.65900000000000003</c:v>
                </c:pt>
                <c:pt idx="660">
                  <c:v>0.66</c:v>
                </c:pt>
                <c:pt idx="661">
                  <c:v>0.66100000000000003</c:v>
                </c:pt>
                <c:pt idx="662">
                  <c:v>0.66200000000000003</c:v>
                </c:pt>
                <c:pt idx="663">
                  <c:v>0.66300000000000003</c:v>
                </c:pt>
                <c:pt idx="664">
                  <c:v>0.66400000000000003</c:v>
                </c:pt>
                <c:pt idx="665">
                  <c:v>0.66500000000000004</c:v>
                </c:pt>
                <c:pt idx="666">
                  <c:v>0.66600000000000004</c:v>
                </c:pt>
                <c:pt idx="667">
                  <c:v>0.66700000000000004</c:v>
                </c:pt>
                <c:pt idx="668">
                  <c:v>0.66800000000000004</c:v>
                </c:pt>
                <c:pt idx="669">
                  <c:v>0.66900000000000004</c:v>
                </c:pt>
                <c:pt idx="670">
                  <c:v>0.67</c:v>
                </c:pt>
                <c:pt idx="671">
                  <c:v>0.67100000000000004</c:v>
                </c:pt>
                <c:pt idx="672">
                  <c:v>0.67200000000000004</c:v>
                </c:pt>
                <c:pt idx="673">
                  <c:v>0.67300000000000004</c:v>
                </c:pt>
                <c:pt idx="674">
                  <c:v>0.67400000000000004</c:v>
                </c:pt>
                <c:pt idx="675">
                  <c:v>0.67500000000000004</c:v>
                </c:pt>
                <c:pt idx="676">
                  <c:v>0.67600000000000005</c:v>
                </c:pt>
                <c:pt idx="677">
                  <c:v>0.67700000000000005</c:v>
                </c:pt>
                <c:pt idx="678">
                  <c:v>0.67800000000000005</c:v>
                </c:pt>
                <c:pt idx="679">
                  <c:v>0.67900000000000005</c:v>
                </c:pt>
                <c:pt idx="680">
                  <c:v>0.68</c:v>
                </c:pt>
                <c:pt idx="681">
                  <c:v>0.68100000000000005</c:v>
                </c:pt>
                <c:pt idx="682">
                  <c:v>0.68200000000000005</c:v>
                </c:pt>
                <c:pt idx="683">
                  <c:v>0.68300000000000005</c:v>
                </c:pt>
                <c:pt idx="684">
                  <c:v>0.68400000000000005</c:v>
                </c:pt>
                <c:pt idx="685">
                  <c:v>0.68500000000000005</c:v>
                </c:pt>
                <c:pt idx="686">
                  <c:v>0.68600000000000005</c:v>
                </c:pt>
                <c:pt idx="687">
                  <c:v>0.68700000000000006</c:v>
                </c:pt>
                <c:pt idx="688">
                  <c:v>0.68799999999999994</c:v>
                </c:pt>
                <c:pt idx="689">
                  <c:v>0.68899999999999995</c:v>
                </c:pt>
                <c:pt idx="690">
                  <c:v>0.69</c:v>
                </c:pt>
                <c:pt idx="691">
                  <c:v>0.69099999999999995</c:v>
                </c:pt>
                <c:pt idx="692">
                  <c:v>0.69199999999999995</c:v>
                </c:pt>
                <c:pt idx="693">
                  <c:v>0.69299999999999995</c:v>
                </c:pt>
                <c:pt idx="694">
                  <c:v>0.69399999999999995</c:v>
                </c:pt>
                <c:pt idx="695">
                  <c:v>0.69499999999999995</c:v>
                </c:pt>
                <c:pt idx="696">
                  <c:v>0.69599999999999995</c:v>
                </c:pt>
                <c:pt idx="697">
                  <c:v>0.69699999999999995</c:v>
                </c:pt>
                <c:pt idx="698">
                  <c:v>0.69799999999999995</c:v>
                </c:pt>
                <c:pt idx="699">
                  <c:v>0.69899999999999995</c:v>
                </c:pt>
                <c:pt idx="700">
                  <c:v>0.7</c:v>
                </c:pt>
                <c:pt idx="701">
                  <c:v>0.70099999999999996</c:v>
                </c:pt>
                <c:pt idx="702">
                  <c:v>0.70199999999999996</c:v>
                </c:pt>
                <c:pt idx="703">
                  <c:v>0.70299999999999996</c:v>
                </c:pt>
                <c:pt idx="704">
                  <c:v>0.70399999999999996</c:v>
                </c:pt>
                <c:pt idx="705">
                  <c:v>0.70499999999999996</c:v>
                </c:pt>
                <c:pt idx="706">
                  <c:v>0.70599999999999996</c:v>
                </c:pt>
                <c:pt idx="707">
                  <c:v>0.70699999999999996</c:v>
                </c:pt>
                <c:pt idx="708">
                  <c:v>0.70799999999999996</c:v>
                </c:pt>
                <c:pt idx="709">
                  <c:v>0.70899999999999996</c:v>
                </c:pt>
                <c:pt idx="710">
                  <c:v>0.71</c:v>
                </c:pt>
                <c:pt idx="711">
                  <c:v>0.71099999999999997</c:v>
                </c:pt>
                <c:pt idx="712">
                  <c:v>0.71199999999999997</c:v>
                </c:pt>
                <c:pt idx="713">
                  <c:v>0.71299999999999997</c:v>
                </c:pt>
                <c:pt idx="714">
                  <c:v>0.71399999999999997</c:v>
                </c:pt>
                <c:pt idx="715">
                  <c:v>0.71499999999999997</c:v>
                </c:pt>
                <c:pt idx="716">
                  <c:v>0.71599999999999997</c:v>
                </c:pt>
                <c:pt idx="717">
                  <c:v>0.71699999999999997</c:v>
                </c:pt>
                <c:pt idx="718">
                  <c:v>0.71799999999999997</c:v>
                </c:pt>
                <c:pt idx="719">
                  <c:v>0.71899999999999997</c:v>
                </c:pt>
                <c:pt idx="720">
                  <c:v>0.72</c:v>
                </c:pt>
                <c:pt idx="721">
                  <c:v>0.72099999999999997</c:v>
                </c:pt>
                <c:pt idx="722">
                  <c:v>0.72199999999999998</c:v>
                </c:pt>
                <c:pt idx="723">
                  <c:v>0.72299999999999998</c:v>
                </c:pt>
                <c:pt idx="724">
                  <c:v>0.72399999999999998</c:v>
                </c:pt>
                <c:pt idx="725">
                  <c:v>0.72499999999999998</c:v>
                </c:pt>
                <c:pt idx="726">
                  <c:v>0.72599999999999998</c:v>
                </c:pt>
                <c:pt idx="727">
                  <c:v>0.72699999999999998</c:v>
                </c:pt>
                <c:pt idx="728">
                  <c:v>0.72799999999999998</c:v>
                </c:pt>
                <c:pt idx="729">
                  <c:v>0.72899999999999998</c:v>
                </c:pt>
                <c:pt idx="730">
                  <c:v>0.73</c:v>
                </c:pt>
                <c:pt idx="731">
                  <c:v>0.73099999999999998</c:v>
                </c:pt>
                <c:pt idx="732">
                  <c:v>0.73199999999999998</c:v>
                </c:pt>
                <c:pt idx="733">
                  <c:v>0.73299999999999998</c:v>
                </c:pt>
                <c:pt idx="734">
                  <c:v>0.73399999999999999</c:v>
                </c:pt>
                <c:pt idx="735">
                  <c:v>0.73499999999999999</c:v>
                </c:pt>
                <c:pt idx="736">
                  <c:v>0.73599999999999999</c:v>
                </c:pt>
                <c:pt idx="737">
                  <c:v>0.73699999999999999</c:v>
                </c:pt>
                <c:pt idx="738">
                  <c:v>0.73799999999999999</c:v>
                </c:pt>
                <c:pt idx="739">
                  <c:v>0.73899999999999999</c:v>
                </c:pt>
                <c:pt idx="740">
                  <c:v>0.74</c:v>
                </c:pt>
                <c:pt idx="741">
                  <c:v>0.74099999999999999</c:v>
                </c:pt>
                <c:pt idx="742">
                  <c:v>0.74199999999999999</c:v>
                </c:pt>
                <c:pt idx="743">
                  <c:v>0.74299999999999999</c:v>
                </c:pt>
                <c:pt idx="744">
                  <c:v>0.74399999999999999</c:v>
                </c:pt>
                <c:pt idx="745">
                  <c:v>0.745</c:v>
                </c:pt>
                <c:pt idx="746">
                  <c:v>0.746</c:v>
                </c:pt>
                <c:pt idx="747">
                  <c:v>0.747</c:v>
                </c:pt>
                <c:pt idx="748">
                  <c:v>0.748</c:v>
                </c:pt>
                <c:pt idx="749">
                  <c:v>0.749</c:v>
                </c:pt>
                <c:pt idx="750">
                  <c:v>0.75</c:v>
                </c:pt>
                <c:pt idx="751">
                  <c:v>0.751</c:v>
                </c:pt>
                <c:pt idx="752">
                  <c:v>0.752</c:v>
                </c:pt>
                <c:pt idx="753">
                  <c:v>0.753</c:v>
                </c:pt>
                <c:pt idx="754">
                  <c:v>0.754</c:v>
                </c:pt>
                <c:pt idx="755">
                  <c:v>0.755</c:v>
                </c:pt>
                <c:pt idx="756">
                  <c:v>0.75600000000000001</c:v>
                </c:pt>
                <c:pt idx="757">
                  <c:v>0.75700000000000001</c:v>
                </c:pt>
                <c:pt idx="758">
                  <c:v>0.75800000000000001</c:v>
                </c:pt>
                <c:pt idx="759">
                  <c:v>0.75900000000000001</c:v>
                </c:pt>
                <c:pt idx="760">
                  <c:v>0.76</c:v>
                </c:pt>
                <c:pt idx="761">
                  <c:v>0.76100000000000001</c:v>
                </c:pt>
                <c:pt idx="762">
                  <c:v>0.76200000000000001</c:v>
                </c:pt>
                <c:pt idx="763">
                  <c:v>0.76300000000000001</c:v>
                </c:pt>
                <c:pt idx="764">
                  <c:v>0.76400000000000001</c:v>
                </c:pt>
                <c:pt idx="765">
                  <c:v>0.76500000000000001</c:v>
                </c:pt>
                <c:pt idx="766">
                  <c:v>0.76600000000000001</c:v>
                </c:pt>
                <c:pt idx="767">
                  <c:v>0.76700000000000002</c:v>
                </c:pt>
                <c:pt idx="768">
                  <c:v>0.76800000000000002</c:v>
                </c:pt>
                <c:pt idx="769">
                  <c:v>0.76900000000000002</c:v>
                </c:pt>
                <c:pt idx="770">
                  <c:v>0.77</c:v>
                </c:pt>
                <c:pt idx="771">
                  <c:v>0.77100000000000002</c:v>
                </c:pt>
                <c:pt idx="772">
                  <c:v>0.77200000000000002</c:v>
                </c:pt>
                <c:pt idx="773">
                  <c:v>0.77300000000000002</c:v>
                </c:pt>
                <c:pt idx="774">
                  <c:v>0.77400000000000002</c:v>
                </c:pt>
                <c:pt idx="775">
                  <c:v>0.77500000000000002</c:v>
                </c:pt>
                <c:pt idx="776">
                  <c:v>0.77600000000000002</c:v>
                </c:pt>
                <c:pt idx="777">
                  <c:v>0.77700000000000002</c:v>
                </c:pt>
                <c:pt idx="778">
                  <c:v>0.77800000000000002</c:v>
                </c:pt>
                <c:pt idx="779">
                  <c:v>0.77900000000000003</c:v>
                </c:pt>
                <c:pt idx="780">
                  <c:v>0.78</c:v>
                </c:pt>
                <c:pt idx="781">
                  <c:v>0.78100000000000003</c:v>
                </c:pt>
                <c:pt idx="782">
                  <c:v>0.78200000000000003</c:v>
                </c:pt>
                <c:pt idx="783">
                  <c:v>0.78300000000000003</c:v>
                </c:pt>
                <c:pt idx="784">
                  <c:v>0.78400000000000003</c:v>
                </c:pt>
                <c:pt idx="785">
                  <c:v>0.78500000000000003</c:v>
                </c:pt>
                <c:pt idx="786">
                  <c:v>0.78600000000000003</c:v>
                </c:pt>
                <c:pt idx="787">
                  <c:v>0.78700000000000003</c:v>
                </c:pt>
                <c:pt idx="788">
                  <c:v>0.78800000000000003</c:v>
                </c:pt>
                <c:pt idx="789">
                  <c:v>0.78900000000000003</c:v>
                </c:pt>
                <c:pt idx="790">
                  <c:v>0.79</c:v>
                </c:pt>
                <c:pt idx="791">
                  <c:v>0.79100000000000004</c:v>
                </c:pt>
                <c:pt idx="792">
                  <c:v>0.79200000000000004</c:v>
                </c:pt>
                <c:pt idx="793">
                  <c:v>0.79300000000000004</c:v>
                </c:pt>
                <c:pt idx="794">
                  <c:v>0.79400000000000004</c:v>
                </c:pt>
                <c:pt idx="795">
                  <c:v>0.79500000000000004</c:v>
                </c:pt>
                <c:pt idx="796">
                  <c:v>0.79600000000000004</c:v>
                </c:pt>
                <c:pt idx="797">
                  <c:v>0.79700000000000004</c:v>
                </c:pt>
                <c:pt idx="798">
                  <c:v>0.79800000000000004</c:v>
                </c:pt>
                <c:pt idx="799">
                  <c:v>0.79900000000000004</c:v>
                </c:pt>
                <c:pt idx="800">
                  <c:v>0.8</c:v>
                </c:pt>
                <c:pt idx="801">
                  <c:v>0.80100000000000005</c:v>
                </c:pt>
                <c:pt idx="802">
                  <c:v>0.80200000000000005</c:v>
                </c:pt>
                <c:pt idx="803">
                  <c:v>0.80300000000000005</c:v>
                </c:pt>
                <c:pt idx="804">
                  <c:v>0.80400000000000005</c:v>
                </c:pt>
                <c:pt idx="805">
                  <c:v>0.80500000000000005</c:v>
                </c:pt>
                <c:pt idx="806">
                  <c:v>0.80600000000000005</c:v>
                </c:pt>
                <c:pt idx="807">
                  <c:v>0.80700000000000005</c:v>
                </c:pt>
                <c:pt idx="808">
                  <c:v>0.80800000000000005</c:v>
                </c:pt>
                <c:pt idx="809">
                  <c:v>0.80900000000000005</c:v>
                </c:pt>
                <c:pt idx="810">
                  <c:v>0.81</c:v>
                </c:pt>
                <c:pt idx="811">
                  <c:v>0.81100000000000005</c:v>
                </c:pt>
                <c:pt idx="812">
                  <c:v>0.81200000000000006</c:v>
                </c:pt>
                <c:pt idx="813">
                  <c:v>0.81299999999999994</c:v>
                </c:pt>
                <c:pt idx="814">
                  <c:v>0.81399999999999995</c:v>
                </c:pt>
                <c:pt idx="815">
                  <c:v>0.81499999999999995</c:v>
                </c:pt>
                <c:pt idx="816">
                  <c:v>0.81599999999999995</c:v>
                </c:pt>
                <c:pt idx="817">
                  <c:v>0.81699999999999995</c:v>
                </c:pt>
                <c:pt idx="818">
                  <c:v>0.81799999999999995</c:v>
                </c:pt>
                <c:pt idx="819">
                  <c:v>0.81899999999999995</c:v>
                </c:pt>
                <c:pt idx="820">
                  <c:v>0.82</c:v>
                </c:pt>
                <c:pt idx="821">
                  <c:v>0.82099999999999995</c:v>
                </c:pt>
                <c:pt idx="822">
                  <c:v>0.82199999999999995</c:v>
                </c:pt>
                <c:pt idx="823">
                  <c:v>0.82299999999999995</c:v>
                </c:pt>
                <c:pt idx="824">
                  <c:v>0.82399999999999995</c:v>
                </c:pt>
                <c:pt idx="825">
                  <c:v>0.82499999999999996</c:v>
                </c:pt>
                <c:pt idx="826">
                  <c:v>0.82599999999999996</c:v>
                </c:pt>
                <c:pt idx="827">
                  <c:v>0.82699999999999996</c:v>
                </c:pt>
                <c:pt idx="828">
                  <c:v>0.82799999999999996</c:v>
                </c:pt>
                <c:pt idx="829">
                  <c:v>0.82899999999999996</c:v>
                </c:pt>
                <c:pt idx="830">
                  <c:v>0.83</c:v>
                </c:pt>
                <c:pt idx="831">
                  <c:v>0.83099999999999996</c:v>
                </c:pt>
                <c:pt idx="832">
                  <c:v>0.83199999999999996</c:v>
                </c:pt>
                <c:pt idx="833">
                  <c:v>0.83299999999999996</c:v>
                </c:pt>
                <c:pt idx="834">
                  <c:v>0.83399999999999996</c:v>
                </c:pt>
                <c:pt idx="835">
                  <c:v>0.83499999999999996</c:v>
                </c:pt>
                <c:pt idx="836">
                  <c:v>0.83599999999999997</c:v>
                </c:pt>
                <c:pt idx="837">
                  <c:v>0.83699999999999997</c:v>
                </c:pt>
                <c:pt idx="838">
                  <c:v>0.83799999999999997</c:v>
                </c:pt>
                <c:pt idx="839">
                  <c:v>0.83899999999999997</c:v>
                </c:pt>
                <c:pt idx="840">
                  <c:v>0.84</c:v>
                </c:pt>
                <c:pt idx="841">
                  <c:v>0.84099999999999997</c:v>
                </c:pt>
                <c:pt idx="842">
                  <c:v>0.84199999999999997</c:v>
                </c:pt>
                <c:pt idx="843">
                  <c:v>0.84299999999999997</c:v>
                </c:pt>
                <c:pt idx="844">
                  <c:v>0.84399999999999997</c:v>
                </c:pt>
                <c:pt idx="845">
                  <c:v>0.84499999999999997</c:v>
                </c:pt>
                <c:pt idx="846">
                  <c:v>0.84599999999999997</c:v>
                </c:pt>
                <c:pt idx="847">
                  <c:v>0.84699999999999998</c:v>
                </c:pt>
                <c:pt idx="848">
                  <c:v>0.84799999999999998</c:v>
                </c:pt>
                <c:pt idx="849">
                  <c:v>0.84899999999999998</c:v>
                </c:pt>
                <c:pt idx="850">
                  <c:v>0.85</c:v>
                </c:pt>
                <c:pt idx="851">
                  <c:v>0.85099999999999998</c:v>
                </c:pt>
                <c:pt idx="852">
                  <c:v>0.85199999999999998</c:v>
                </c:pt>
                <c:pt idx="853">
                  <c:v>0.85299999999999998</c:v>
                </c:pt>
                <c:pt idx="854">
                  <c:v>0.85399999999999998</c:v>
                </c:pt>
                <c:pt idx="855">
                  <c:v>0.85499999999999998</c:v>
                </c:pt>
                <c:pt idx="856">
                  <c:v>0.85599999999999998</c:v>
                </c:pt>
                <c:pt idx="857">
                  <c:v>0.85699999999999998</c:v>
                </c:pt>
                <c:pt idx="858">
                  <c:v>0.85799999999999998</c:v>
                </c:pt>
                <c:pt idx="859">
                  <c:v>0.85899999999999999</c:v>
                </c:pt>
                <c:pt idx="860">
                  <c:v>0.86</c:v>
                </c:pt>
                <c:pt idx="861">
                  <c:v>0.86099999999999999</c:v>
                </c:pt>
                <c:pt idx="862">
                  <c:v>0.86199999999999999</c:v>
                </c:pt>
                <c:pt idx="863">
                  <c:v>0.86299999999999999</c:v>
                </c:pt>
                <c:pt idx="864">
                  <c:v>0.86399999999999999</c:v>
                </c:pt>
                <c:pt idx="865">
                  <c:v>0.86499999999999999</c:v>
                </c:pt>
                <c:pt idx="866">
                  <c:v>0.86599999999999999</c:v>
                </c:pt>
                <c:pt idx="867">
                  <c:v>0.86699999999999999</c:v>
                </c:pt>
                <c:pt idx="868">
                  <c:v>0.86799999999999999</c:v>
                </c:pt>
                <c:pt idx="869">
                  <c:v>0.86899999999999999</c:v>
                </c:pt>
                <c:pt idx="870">
                  <c:v>0.87</c:v>
                </c:pt>
                <c:pt idx="871">
                  <c:v>0.871</c:v>
                </c:pt>
                <c:pt idx="872">
                  <c:v>0.872</c:v>
                </c:pt>
                <c:pt idx="873">
                  <c:v>0.873</c:v>
                </c:pt>
                <c:pt idx="874">
                  <c:v>0.874</c:v>
                </c:pt>
                <c:pt idx="875">
                  <c:v>0.875</c:v>
                </c:pt>
                <c:pt idx="876">
                  <c:v>0.876</c:v>
                </c:pt>
                <c:pt idx="877">
                  <c:v>0.877</c:v>
                </c:pt>
                <c:pt idx="878">
                  <c:v>0.878</c:v>
                </c:pt>
                <c:pt idx="879">
                  <c:v>0.879</c:v>
                </c:pt>
                <c:pt idx="880">
                  <c:v>0.88</c:v>
                </c:pt>
                <c:pt idx="881">
                  <c:v>0.88100000000000001</c:v>
                </c:pt>
                <c:pt idx="882">
                  <c:v>0.88200000000000001</c:v>
                </c:pt>
                <c:pt idx="883">
                  <c:v>0.88300000000000001</c:v>
                </c:pt>
                <c:pt idx="884">
                  <c:v>0.88400000000000001</c:v>
                </c:pt>
                <c:pt idx="885">
                  <c:v>0.88500000000000001</c:v>
                </c:pt>
                <c:pt idx="886">
                  <c:v>0.88600000000000001</c:v>
                </c:pt>
                <c:pt idx="887">
                  <c:v>0.88700000000000001</c:v>
                </c:pt>
                <c:pt idx="888">
                  <c:v>0.88800000000000001</c:v>
                </c:pt>
                <c:pt idx="889">
                  <c:v>0.88900000000000001</c:v>
                </c:pt>
                <c:pt idx="890">
                  <c:v>0.89</c:v>
                </c:pt>
                <c:pt idx="891">
                  <c:v>0.89100000000000001</c:v>
                </c:pt>
                <c:pt idx="892">
                  <c:v>0.89200000000000002</c:v>
                </c:pt>
                <c:pt idx="893">
                  <c:v>0.89300000000000002</c:v>
                </c:pt>
                <c:pt idx="894">
                  <c:v>0.89400000000000002</c:v>
                </c:pt>
                <c:pt idx="895">
                  <c:v>0.89500000000000002</c:v>
                </c:pt>
                <c:pt idx="896">
                  <c:v>0.89600000000000002</c:v>
                </c:pt>
                <c:pt idx="897">
                  <c:v>0.89700000000000002</c:v>
                </c:pt>
                <c:pt idx="898">
                  <c:v>0.89800000000000002</c:v>
                </c:pt>
                <c:pt idx="899">
                  <c:v>0.89900000000000002</c:v>
                </c:pt>
                <c:pt idx="900">
                  <c:v>0.9</c:v>
                </c:pt>
                <c:pt idx="901">
                  <c:v>0.90100000000000002</c:v>
                </c:pt>
                <c:pt idx="902">
                  <c:v>0.90200000000000002</c:v>
                </c:pt>
                <c:pt idx="903">
                  <c:v>0.90300000000000002</c:v>
                </c:pt>
                <c:pt idx="904">
                  <c:v>0.90400000000000003</c:v>
                </c:pt>
                <c:pt idx="905">
                  <c:v>0.90500000000000003</c:v>
                </c:pt>
                <c:pt idx="906">
                  <c:v>0.90600000000000003</c:v>
                </c:pt>
                <c:pt idx="907">
                  <c:v>0.90700000000000003</c:v>
                </c:pt>
                <c:pt idx="908">
                  <c:v>0.90800000000000003</c:v>
                </c:pt>
                <c:pt idx="909">
                  <c:v>0.90900000000000003</c:v>
                </c:pt>
                <c:pt idx="910">
                  <c:v>0.91</c:v>
                </c:pt>
                <c:pt idx="911">
                  <c:v>0.91100000000000003</c:v>
                </c:pt>
                <c:pt idx="912">
                  <c:v>0.91200000000000003</c:v>
                </c:pt>
                <c:pt idx="913">
                  <c:v>0.91300000000000003</c:v>
                </c:pt>
                <c:pt idx="914">
                  <c:v>0.91400000000000003</c:v>
                </c:pt>
                <c:pt idx="915">
                  <c:v>0.91500000000000004</c:v>
                </c:pt>
                <c:pt idx="916">
                  <c:v>0.91600000000000004</c:v>
                </c:pt>
                <c:pt idx="917">
                  <c:v>0.91700000000000004</c:v>
                </c:pt>
                <c:pt idx="918">
                  <c:v>0.91800000000000004</c:v>
                </c:pt>
                <c:pt idx="919">
                  <c:v>0.91900000000000004</c:v>
                </c:pt>
                <c:pt idx="920">
                  <c:v>0.92</c:v>
                </c:pt>
                <c:pt idx="921">
                  <c:v>0.92100000000000004</c:v>
                </c:pt>
                <c:pt idx="922">
                  <c:v>0.92200000000000004</c:v>
                </c:pt>
                <c:pt idx="923">
                  <c:v>0.92300000000000004</c:v>
                </c:pt>
                <c:pt idx="924">
                  <c:v>0.92400000000000004</c:v>
                </c:pt>
                <c:pt idx="925">
                  <c:v>0.92500000000000004</c:v>
                </c:pt>
                <c:pt idx="926">
                  <c:v>0.92600000000000005</c:v>
                </c:pt>
                <c:pt idx="927">
                  <c:v>0.92700000000000005</c:v>
                </c:pt>
                <c:pt idx="928">
                  <c:v>0.92800000000000005</c:v>
                </c:pt>
                <c:pt idx="929">
                  <c:v>0.92900000000000005</c:v>
                </c:pt>
                <c:pt idx="930">
                  <c:v>0.93</c:v>
                </c:pt>
                <c:pt idx="931">
                  <c:v>0.93100000000000005</c:v>
                </c:pt>
                <c:pt idx="932">
                  <c:v>0.93200000000000005</c:v>
                </c:pt>
                <c:pt idx="933">
                  <c:v>0.93300000000000005</c:v>
                </c:pt>
                <c:pt idx="934">
                  <c:v>0.93400000000000005</c:v>
                </c:pt>
                <c:pt idx="935">
                  <c:v>0.93500000000000005</c:v>
                </c:pt>
                <c:pt idx="936">
                  <c:v>0.93600000000000005</c:v>
                </c:pt>
                <c:pt idx="937">
                  <c:v>0.93700000000000006</c:v>
                </c:pt>
                <c:pt idx="938">
                  <c:v>0.93799999999999994</c:v>
                </c:pt>
                <c:pt idx="939">
                  <c:v>0.93899999999999995</c:v>
                </c:pt>
                <c:pt idx="940">
                  <c:v>0.94</c:v>
                </c:pt>
                <c:pt idx="941">
                  <c:v>0.94099999999999995</c:v>
                </c:pt>
                <c:pt idx="942">
                  <c:v>0.94199999999999995</c:v>
                </c:pt>
                <c:pt idx="943">
                  <c:v>0.94299999999999995</c:v>
                </c:pt>
                <c:pt idx="944">
                  <c:v>0.94399999999999995</c:v>
                </c:pt>
                <c:pt idx="945">
                  <c:v>0.94499999999999995</c:v>
                </c:pt>
                <c:pt idx="946">
                  <c:v>0.94599999999999995</c:v>
                </c:pt>
                <c:pt idx="947">
                  <c:v>0.94699999999999995</c:v>
                </c:pt>
                <c:pt idx="948">
                  <c:v>0.94799999999999995</c:v>
                </c:pt>
                <c:pt idx="949">
                  <c:v>0.94899999999999995</c:v>
                </c:pt>
                <c:pt idx="950">
                  <c:v>0.95</c:v>
                </c:pt>
                <c:pt idx="951">
                  <c:v>0.95099999999999996</c:v>
                </c:pt>
                <c:pt idx="952">
                  <c:v>0.95199999999999996</c:v>
                </c:pt>
                <c:pt idx="953">
                  <c:v>0.95299999999999996</c:v>
                </c:pt>
                <c:pt idx="954">
                  <c:v>0.95399999999999996</c:v>
                </c:pt>
                <c:pt idx="955">
                  <c:v>0.95499999999999996</c:v>
                </c:pt>
                <c:pt idx="956">
                  <c:v>0.95599999999999996</c:v>
                </c:pt>
                <c:pt idx="957">
                  <c:v>0.95699999999999996</c:v>
                </c:pt>
                <c:pt idx="958">
                  <c:v>0.95799999999999996</c:v>
                </c:pt>
                <c:pt idx="959">
                  <c:v>0.95899999999999996</c:v>
                </c:pt>
                <c:pt idx="960">
                  <c:v>0.96</c:v>
                </c:pt>
                <c:pt idx="961">
                  <c:v>0.96099999999999997</c:v>
                </c:pt>
                <c:pt idx="962">
                  <c:v>0.96199999999999997</c:v>
                </c:pt>
                <c:pt idx="963">
                  <c:v>0.96299999999999997</c:v>
                </c:pt>
                <c:pt idx="964">
                  <c:v>0.96399999999999997</c:v>
                </c:pt>
                <c:pt idx="965">
                  <c:v>0.96499999999999997</c:v>
                </c:pt>
                <c:pt idx="966">
                  <c:v>0.96599999999999997</c:v>
                </c:pt>
                <c:pt idx="967">
                  <c:v>0.96699999999999997</c:v>
                </c:pt>
                <c:pt idx="968">
                  <c:v>0.96799999999999997</c:v>
                </c:pt>
                <c:pt idx="969">
                  <c:v>0.96899999999999997</c:v>
                </c:pt>
                <c:pt idx="970">
                  <c:v>0.97</c:v>
                </c:pt>
                <c:pt idx="971">
                  <c:v>0.97099999999999997</c:v>
                </c:pt>
                <c:pt idx="972">
                  <c:v>0.97199999999999998</c:v>
                </c:pt>
                <c:pt idx="973">
                  <c:v>0.97299999999999998</c:v>
                </c:pt>
                <c:pt idx="974">
                  <c:v>0.97399999999999998</c:v>
                </c:pt>
                <c:pt idx="975">
                  <c:v>0.97499999999999998</c:v>
                </c:pt>
                <c:pt idx="976">
                  <c:v>0.97599999999999998</c:v>
                </c:pt>
                <c:pt idx="977">
                  <c:v>0.97699999999999998</c:v>
                </c:pt>
                <c:pt idx="978">
                  <c:v>0.97799999999999998</c:v>
                </c:pt>
                <c:pt idx="979">
                  <c:v>0.97899999999999998</c:v>
                </c:pt>
                <c:pt idx="980">
                  <c:v>0.98</c:v>
                </c:pt>
                <c:pt idx="981">
                  <c:v>0.98099999999999998</c:v>
                </c:pt>
                <c:pt idx="982">
                  <c:v>0.98199999999999998</c:v>
                </c:pt>
                <c:pt idx="983">
                  <c:v>0.98299999999999998</c:v>
                </c:pt>
                <c:pt idx="984">
                  <c:v>0.98399999999999999</c:v>
                </c:pt>
                <c:pt idx="985">
                  <c:v>0.98499999999999999</c:v>
                </c:pt>
                <c:pt idx="986">
                  <c:v>0.98599999999999999</c:v>
                </c:pt>
                <c:pt idx="987">
                  <c:v>0.98699999999999999</c:v>
                </c:pt>
                <c:pt idx="988">
                  <c:v>0.98799999999999999</c:v>
                </c:pt>
                <c:pt idx="989">
                  <c:v>0.98899999999999999</c:v>
                </c:pt>
                <c:pt idx="990">
                  <c:v>0.99</c:v>
                </c:pt>
                <c:pt idx="991">
                  <c:v>0.99099999999999999</c:v>
                </c:pt>
                <c:pt idx="992">
                  <c:v>0.99199999999999999</c:v>
                </c:pt>
                <c:pt idx="993">
                  <c:v>0.99299999999999999</c:v>
                </c:pt>
                <c:pt idx="994">
                  <c:v>0.99399999999999999</c:v>
                </c:pt>
                <c:pt idx="995">
                  <c:v>0.995</c:v>
                </c:pt>
                <c:pt idx="996">
                  <c:v>0.996</c:v>
                </c:pt>
                <c:pt idx="997">
                  <c:v>0.997</c:v>
                </c:pt>
                <c:pt idx="998">
                  <c:v>0.998</c:v>
                </c:pt>
                <c:pt idx="999">
                  <c:v>0.999</c:v>
                </c:pt>
                <c:pt idx="1000">
                  <c:v>1</c:v>
                </c:pt>
              </c:numCache>
            </c:numRef>
          </c:cat>
          <c:val>
            <c:numRef>
              <c:f>'Lab4'!$H$6:$H$1006</c:f>
              <c:numCache>
                <c:formatCode>_-* #,##0.00\ [$zł-415]_-;\-* #,##0.00\ [$zł-415]_-;_-* "-"??\ [$zł-415]_-;_-@_-</c:formatCode>
                <c:ptCount val="1001"/>
                <c:pt idx="0">
                  <c:v>0</c:v>
                </c:pt>
                <c:pt idx="1">
                  <c:v>9069.9971029952867</c:v>
                </c:pt>
                <c:pt idx="2">
                  <c:v>18229.972816518042</c:v>
                </c:pt>
                <c:pt idx="3">
                  <c:v>27479.891614859342</c:v>
                </c:pt>
                <c:pt idx="4">
                  <c:v>36819.701817571651</c:v>
                </c:pt>
                <c:pt idx="5">
                  <c:v>46249.335625522421</c:v>
                </c:pt>
                <c:pt idx="6">
                  <c:v>55768.709167248569</c:v>
                </c:pt>
                <c:pt idx="7">
                  <c:v>65377.722555551678</c:v>
                </c:pt>
                <c:pt idx="8">
                  <c:v>75076.259954260429</c:v>
                </c:pt>
                <c:pt idx="9">
                  <c:v>84864.189655071124</c:v>
                </c:pt>
                <c:pt idx="10">
                  <c:v>94741.364164375351</c:v>
                </c:pt>
                <c:pt idx="11">
                  <c:v>104707.62029995595</c:v>
                </c:pt>
                <c:pt idx="12">
                  <c:v>114762.77929743449</c:v>
                </c:pt>
                <c:pt idx="13">
                  <c:v>124906.64692633273</c:v>
                </c:pt>
                <c:pt idx="14">
                  <c:v>135139.01361560321</c:v>
                </c:pt>
                <c:pt idx="15">
                  <c:v>145459.65458847419</c:v>
                </c:pt>
                <c:pt idx="16">
                  <c:v>155868.33000643621</c:v>
                </c:pt>
                <c:pt idx="17">
                  <c:v>166364.78512219829</c:v>
                </c:pt>
                <c:pt idx="18">
                  <c:v>176948.75044141803</c:v>
                </c:pt>
                <c:pt idx="19">
                  <c:v>187619.94189301471</c:v>
                </c:pt>
                <c:pt idx="20">
                  <c:v>198378.06100785232</c:v>
                </c:pt>
                <c:pt idx="21">
                  <c:v>209222.79510557791</c:v>
                </c:pt>
                <c:pt idx="22">
                  <c:v>220153.81748939049</c:v>
                </c:pt>
                <c:pt idx="23">
                  <c:v>231170.7876485039</c:v>
                </c:pt>
                <c:pt idx="24">
                  <c:v>242273.35146806925</c:v>
                </c:pt>
                <c:pt idx="25">
                  <c:v>253461.14144630102</c:v>
                </c:pt>
                <c:pt idx="26">
                  <c:v>264733.77691855561</c:v>
                </c:pt>
                <c:pt idx="27">
                  <c:v>276090.86428809923</c:v>
                </c:pt>
                <c:pt idx="28">
                  <c:v>287531.9972633021</c:v>
                </c:pt>
                <c:pt idx="29">
                  <c:v>299056.75710098085</c:v>
                </c:pt>
                <c:pt idx="30">
                  <c:v>310664.71285561298</c:v>
                </c:pt>
                <c:pt idx="31">
                  <c:v>322355.42163414462</c:v>
                </c:pt>
                <c:pt idx="32">
                  <c:v>334128.42885610415</c:v>
                </c:pt>
                <c:pt idx="33">
                  <c:v>345983.26851873123</c:v>
                </c:pt>
                <c:pt idx="34">
                  <c:v>357919.46346683113</c:v>
                </c:pt>
                <c:pt idx="35">
                  <c:v>369936.52566706087</c:v>
                </c:pt>
                <c:pt idx="36">
                  <c:v>382033.95648635051</c:v>
                </c:pt>
                <c:pt idx="37">
                  <c:v>394211.24697415892</c:v>
                </c:pt>
                <c:pt idx="38">
                  <c:v>406467.87814827438</c:v>
                </c:pt>
                <c:pt idx="39">
                  <c:v>418803.3212838514</c:v>
                </c:pt>
                <c:pt idx="40">
                  <c:v>431217.03820539266</c:v>
                </c:pt>
                <c:pt idx="41">
                  <c:v>443708.48158137349</c:v>
                </c:pt>
                <c:pt idx="42">
                  <c:v>456277.09522121656</c:v>
                </c:pt>
                <c:pt idx="43">
                  <c:v>468922.31437431672</c:v>
                </c:pt>
                <c:pt idx="44">
                  <c:v>481643.56603082549</c:v>
                </c:pt>
                <c:pt idx="45">
                  <c:v>494440.26922390214</c:v>
                </c:pt>
                <c:pt idx="46">
                  <c:v>507311.83533314569</c:v>
                </c:pt>
                <c:pt idx="47">
                  <c:v>520257.66838891828</c:v>
                </c:pt>
                <c:pt idx="48">
                  <c:v>533277.165377283</c:v>
                </c:pt>
                <c:pt idx="49">
                  <c:v>546369.71654527169</c:v>
                </c:pt>
                <c:pt idx="50">
                  <c:v>559534.70570622035</c:v>
                </c:pt>
                <c:pt idx="51">
                  <c:v>572771.51054488542</c:v>
                </c:pt>
                <c:pt idx="52">
                  <c:v>586079.50292209815</c:v>
                </c:pt>
                <c:pt idx="53">
                  <c:v>599458.04917867831</c:v>
                </c:pt>
                <c:pt idx="54">
                  <c:v>612906.51043836703</c:v>
                </c:pt>
                <c:pt idx="55">
                  <c:v>626424.24290952622</c:v>
                </c:pt>
                <c:pt idx="56">
                  <c:v>640010.59818536323</c:v>
                </c:pt>
                <c:pt idx="57">
                  <c:v>653664.92354244343</c:v>
                </c:pt>
                <c:pt idx="58">
                  <c:v>667386.56223726855</c:v>
                </c:pt>
                <c:pt idx="59">
                  <c:v>681174.85380068887</c:v>
                </c:pt>
                <c:pt idx="60">
                  <c:v>695029.13432994508</c:v>
                </c:pt>
                <c:pt idx="61">
                  <c:v>708948.73677811981</c:v>
                </c:pt>
                <c:pt idx="62">
                  <c:v>722932.99124080944</c:v>
                </c:pt>
                <c:pt idx="63">
                  <c:v>736981.22523981426</c:v>
                </c:pt>
                <c:pt idx="64">
                  <c:v>751092.76400366402</c:v>
                </c:pt>
                <c:pt idx="65">
                  <c:v>765266.93074480165</c:v>
                </c:pt>
                <c:pt idx="66">
                  <c:v>779503.04693325167</c:v>
                </c:pt>
                <c:pt idx="67">
                  <c:v>793800.4325666111</c:v>
                </c:pt>
                <c:pt idx="68">
                  <c:v>808158.40643620794</c:v>
                </c:pt>
                <c:pt idx="69">
                  <c:v>822576.28638928081</c:v>
                </c:pt>
                <c:pt idx="70">
                  <c:v>837053.38958703587</c:v>
                </c:pt>
                <c:pt idx="71">
                  <c:v>851589.03275845386</c:v>
                </c:pt>
                <c:pt idx="72">
                  <c:v>866182.53244972322</c:v>
                </c:pt>
                <c:pt idx="73">
                  <c:v>880833.20526917465</c:v>
                </c:pt>
                <c:pt idx="74">
                  <c:v>895540.36812762357</c:v>
                </c:pt>
                <c:pt idx="75">
                  <c:v>910303.3384740029</c:v>
                </c:pt>
                <c:pt idx="76">
                  <c:v>925121.43452621019</c:v>
                </c:pt>
                <c:pt idx="77">
                  <c:v>939993.97549706558</c:v>
                </c:pt>
                <c:pt idx="78">
                  <c:v>954920.28181532049</c:v>
                </c:pt>
                <c:pt idx="79">
                  <c:v>969899.67534163315</c:v>
                </c:pt>
                <c:pt idx="80">
                  <c:v>984931.47957945266</c:v>
                </c:pt>
                <c:pt idx="81">
                  <c:v>1000015.0198807556</c:v>
                </c:pt>
                <c:pt idx="82">
                  <c:v>1015149.6236465897</c:v>
                </c:pt>
                <c:pt idx="83">
                  <c:v>1030334.6205223713</c:v>
                </c:pt>
                <c:pt idx="84">
                  <c:v>1045569.3425879159</c:v>
                </c:pt>
                <c:pt idx="85">
                  <c:v>1060853.1245421607</c:v>
                </c:pt>
                <c:pt idx="86">
                  <c:v>1076185.3038825656</c:v>
                </c:pt>
                <c:pt idx="87">
                  <c:v>1091565.2210791726</c:v>
                </c:pt>
                <c:pt idx="88">
                  <c:v>1106992.2197433121</c:v>
                </c:pt>
                <c:pt idx="89">
                  <c:v>1122465.646790958</c:v>
                </c:pt>
                <c:pt idx="90">
                  <c:v>1137984.8526007305</c:v>
                </c:pt>
                <c:pt idx="91">
                  <c:v>1153549.1911665527</c:v>
                </c:pt>
                <c:pt idx="92">
                  <c:v>1169158.0202449756</c:v>
                </c:pt>
                <c:pt idx="93">
                  <c:v>1184810.7014971948</c:v>
                </c:pt>
                <c:pt idx="94">
                  <c:v>1200506.6006257713</c:v>
                </c:pt>
                <c:pt idx="95">
                  <c:v>1216245.0875060961</c:v>
                </c:pt>
                <c:pt idx="96">
                  <c:v>1232025.5363126229</c:v>
                </c:pt>
                <c:pt idx="97">
                  <c:v>1247847.3256399166</c:v>
                </c:pt>
                <c:pt idx="98">
                  <c:v>1263709.8386185451</c:v>
                </c:pt>
                <c:pt idx="99">
                  <c:v>1279612.4630258738</c:v>
                </c:pt>
                <c:pt idx="100">
                  <c:v>1295554.5913918053</c:v>
                </c:pt>
                <c:pt idx="101">
                  <c:v>1311535.6210995207</c:v>
                </c:pt>
                <c:pt idx="102">
                  <c:v>1327554.9544812748</c:v>
                </c:pt>
                <c:pt idx="103">
                  <c:v>1343611.9989093165</c:v>
                </c:pt>
                <c:pt idx="104">
                  <c:v>1359706.1668819794</c:v>
                </c:pt>
                <c:pt idx="105">
                  <c:v>1375836.876105034</c:v>
                </c:pt>
                <c:pt idx="106">
                  <c:v>1392003.549568343</c:v>
                </c:pt>
                <c:pt idx="107">
                  <c:v>1408205.6156179151</c:v>
                </c:pt>
                <c:pt idx="108">
                  <c:v>1424442.5080234173</c:v>
                </c:pt>
                <c:pt idx="109">
                  <c:v>1440713.6660412275</c:v>
                </c:pt>
                <c:pt idx="110">
                  <c:v>1457018.5344731035</c:v>
                </c:pt>
                <c:pt idx="111">
                  <c:v>1473356.5637205492</c:v>
                </c:pt>
                <c:pt idx="112">
                  <c:v>1489727.2098349656</c:v>
                </c:pt>
                <c:pt idx="113">
                  <c:v>1506129.9345636559</c:v>
                </c:pt>
                <c:pt idx="114">
                  <c:v>1522564.2053917875</c:v>
                </c:pt>
                <c:pt idx="115">
                  <c:v>1539029.4955803836</c:v>
                </c:pt>
                <c:pt idx="116">
                  <c:v>1555525.2842004355</c:v>
                </c:pt>
                <c:pt idx="117">
                  <c:v>1572051.0561632258</c:v>
                </c:pt>
                <c:pt idx="118">
                  <c:v>1588606.302246952</c:v>
                </c:pt>
                <c:pt idx="119">
                  <c:v>1605190.5191197312</c:v>
                </c:pt>
                <c:pt idx="120">
                  <c:v>1621803.2093590898</c:v>
                </c:pt>
                <c:pt idx="121">
                  <c:v>1638443.8814680157</c:v>
                </c:pt>
                <c:pt idx="122">
                  <c:v>1655112.0498876753</c:v>
                </c:pt>
                <c:pt idx="123">
                  <c:v>1671807.2350068702</c:v>
                </c:pt>
                <c:pt idx="124">
                  <c:v>1688528.9631683463</c:v>
                </c:pt>
                <c:pt idx="125">
                  <c:v>1705276.7666720245</c:v>
                </c:pt>
                <c:pt idx="126">
                  <c:v>1722050.1837752569</c:v>
                </c:pt>
                <c:pt idx="127">
                  <c:v>1738848.7586901928</c:v>
                </c:pt>
                <c:pt idx="128">
                  <c:v>1755672.0415783501</c:v>
                </c:pt>
                <c:pt idx="129">
                  <c:v>1772519.5885424735</c:v>
                </c:pt>
                <c:pt idx="130">
                  <c:v>1789390.961615772</c:v>
                </c:pt>
                <c:pt idx="131">
                  <c:v>1806285.7287486275</c:v>
                </c:pt>
                <c:pt idx="132">
                  <c:v>1823203.4637928582</c:v>
                </c:pt>
                <c:pt idx="133">
                  <c:v>1840143.7464836198</c:v>
                </c:pt>
                <c:pt idx="134">
                  <c:v>1857106.1624190365</c:v>
                </c:pt>
                <c:pt idx="135">
                  <c:v>1874090.3030376472</c:v>
                </c:pt>
                <c:pt idx="136">
                  <c:v>1891095.7655937397</c:v>
                </c:pt>
                <c:pt idx="137">
                  <c:v>1908122.1531306719</c:v>
                </c:pt>
                <c:pt idx="138">
                  <c:v>1925169.0744522489</c:v>
                </c:pt>
                <c:pt idx="139">
                  <c:v>1942236.1440922399</c:v>
                </c:pt>
                <c:pt idx="140">
                  <c:v>1959322.9822821147</c:v>
                </c:pt>
                <c:pt idx="141">
                  <c:v>1976429.2149170828</c:v>
                </c:pt>
                <c:pt idx="142">
                  <c:v>1993554.4735205011</c:v>
                </c:pt>
                <c:pt idx="143">
                  <c:v>2010698.3952067317</c:v>
                </c:pt>
                <c:pt idx="144">
                  <c:v>2027860.6226425264</c:v>
                </c:pt>
                <c:pt idx="145">
                  <c:v>2045040.8040070059</c:v>
                </c:pt>
                <c:pt idx="146">
                  <c:v>2062238.5929503054</c:v>
                </c:pt>
                <c:pt idx="147">
                  <c:v>2079453.6485509584</c:v>
                </c:pt>
                <c:pt idx="148">
                  <c:v>2096685.6352720866</c:v>
                </c:pt>
                <c:pt idx="149">
                  <c:v>2113934.2229164592</c:v>
                </c:pt>
                <c:pt idx="150">
                  <c:v>2131199.0865804935</c:v>
                </c:pt>
                <c:pt idx="151">
                  <c:v>2148479.9066072544</c:v>
                </c:pt>
                <c:pt idx="152">
                  <c:v>2165776.3685385184</c:v>
                </c:pt>
                <c:pt idx="153">
                  <c:v>2183088.163065963</c:v>
                </c:pt>
                <c:pt idx="154">
                  <c:v>2200414.9859815394</c:v>
                </c:pt>
                <c:pt idx="155">
                  <c:v>2217756.5381270871</c:v>
                </c:pt>
                <c:pt idx="156">
                  <c:v>2235112.5253432477</c:v>
                </c:pt>
                <c:pt idx="157">
                  <c:v>2252482.6584177301</c:v>
                </c:pt>
                <c:pt idx="158">
                  <c:v>2269866.6530329813</c:v>
                </c:pt>
                <c:pt idx="159">
                  <c:v>2287264.2297133231</c:v>
                </c:pt>
                <c:pt idx="160">
                  <c:v>2304675.1137715834</c:v>
                </c:pt>
                <c:pt idx="161">
                  <c:v>2322099.0352552989</c:v>
                </c:pt>
                <c:pt idx="162">
                  <c:v>2339535.7288925112</c:v>
                </c:pt>
                <c:pt idx="163">
                  <c:v>2356984.9340372249</c:v>
                </c:pt>
                <c:pt idx="164">
                  <c:v>2374446.3946145466</c:v>
                </c:pt>
                <c:pt idx="165">
                  <c:v>2391919.8590655793</c:v>
                </c:pt>
                <c:pt idx="166">
                  <c:v>2409405.0802920791</c:v>
                </c:pt>
                <c:pt idx="167">
                  <c:v>2426901.8156009442</c:v>
                </c:pt>
                <c:pt idx="168">
                  <c:v>2444409.8266485599</c:v>
                </c:pt>
                <c:pt idx="169">
                  <c:v>2461928.8793850355</c:v>
                </c:pt>
                <c:pt idx="170">
                  <c:v>2479458.7439983794</c:v>
                </c:pt>
                <c:pt idx="171">
                  <c:v>2496999.1948586404</c:v>
                </c:pt>
                <c:pt idx="172">
                  <c:v>2514550.0104620447</c:v>
                </c:pt>
                <c:pt idx="173">
                  <c:v>2532110.9733751742</c:v>
                </c:pt>
                <c:pt idx="174">
                  <c:v>2549681.8701792024</c:v>
                </c:pt>
                <c:pt idx="175">
                  <c:v>2567262.4914142285</c:v>
                </c:pt>
                <c:pt idx="176">
                  <c:v>2584852.6315237321</c:v>
                </c:pt>
                <c:pt idx="177">
                  <c:v>2602452.0887991739</c:v>
                </c:pt>
                <c:pt idx="178">
                  <c:v>2620060.6653247811</c:v>
                </c:pt>
                <c:pt idx="179">
                  <c:v>2637678.1669225288</c:v>
                </c:pt>
                <c:pt idx="180">
                  <c:v>2655304.4030973427</c:v>
                </c:pt>
                <c:pt idx="181">
                  <c:v>2672939.186982559</c:v>
                </c:pt>
                <c:pt idx="182">
                  <c:v>2690582.335285644</c:v>
                </c:pt>
                <c:pt idx="183">
                  <c:v>2708233.6682342133</c:v>
                </c:pt>
                <c:pt idx="184">
                  <c:v>2725893.0095223528</c:v>
                </c:pt>
                <c:pt idx="185">
                  <c:v>2743560.1862572776</c:v>
                </c:pt>
                <c:pt idx="186">
                  <c:v>2761235.0289063258</c:v>
                </c:pt>
                <c:pt idx="187">
                  <c:v>2778917.3712443295</c:v>
                </c:pt>
                <c:pt idx="188">
                  <c:v>2796607.0503013581</c:v>
                </c:pt>
                <c:pt idx="189">
                  <c:v>2814303.9063108512</c:v>
                </c:pt>
                <c:pt idx="190">
                  <c:v>2832007.7826581723</c:v>
                </c:pt>
                <c:pt idx="191">
                  <c:v>2849718.5258295699</c:v>
                </c:pt>
                <c:pt idx="192">
                  <c:v>2867435.9853615952</c:v>
                </c:pt>
                <c:pt idx="193">
                  <c:v>2885160.0137909353</c:v>
                </c:pt>
                <c:pt idx="194">
                  <c:v>2902890.4666047306</c:v>
                </c:pt>
                <c:pt idx="195">
                  <c:v>2920627.2021913505</c:v>
                </c:pt>
                <c:pt idx="196">
                  <c:v>2938370.0817916356</c:v>
                </c:pt>
                <c:pt idx="197">
                  <c:v>2956118.9694506451</c:v>
                </c:pt>
                <c:pt idx="198">
                  <c:v>2973873.7319698827</c:v>
                </c:pt>
                <c:pt idx="199">
                  <c:v>2991634.2388600269</c:v>
                </c:pt>
                <c:pt idx="200">
                  <c:v>3009400.3622941729</c:v>
                </c:pt>
                <c:pt idx="201">
                  <c:v>3027171.9770615897</c:v>
                </c:pt>
                <c:pt idx="202">
                  <c:v>3044948.9605219853</c:v>
                </c:pt>
                <c:pt idx="203">
                  <c:v>3062731.1925603142</c:v>
                </c:pt>
                <c:pt idx="204">
                  <c:v>3080518.5555420974</c:v>
                </c:pt>
                <c:pt idx="205">
                  <c:v>3098310.9342692904</c:v>
                </c:pt>
                <c:pt idx="206">
                  <c:v>3116108.2159366724</c:v>
                </c:pt>
                <c:pt idx="207">
                  <c:v>3133910.2900887863</c:v>
                </c:pt>
                <c:pt idx="208">
                  <c:v>3151717.0485774209</c:v>
                </c:pt>
                <c:pt idx="209">
                  <c:v>3169528.3855196247</c:v>
                </c:pt>
                <c:pt idx="210">
                  <c:v>3187344.197256281</c:v>
                </c:pt>
                <c:pt idx="211">
                  <c:v>3205164.3823112175</c:v>
                </c:pt>
                <c:pt idx="212">
                  <c:v>3222988.8413508707</c:v>
                </c:pt>
                <c:pt idx="213">
                  <c:v>3240817.4771444923</c:v>
                </c:pt>
                <c:pt idx="214">
                  <c:v>3258650.1945249094</c:v>
                </c:pt>
                <c:pt idx="215">
                  <c:v>3276486.9003498228</c:v>
                </c:pt>
                <c:pt idx="216">
                  <c:v>3294327.5034636622</c:v>
                </c:pt>
                <c:pt idx="217">
                  <c:v>3312171.9146599839</c:v>
                </c:pt>
                <c:pt idx="218">
                  <c:v>3330020.0466444045</c:v>
                </c:pt>
                <c:pt idx="219">
                  <c:v>3347871.8139980873</c:v>
                </c:pt>
                <c:pt idx="220">
                  <c:v>3365727.1331417663</c:v>
                </c:pt>
                <c:pt idx="221">
                  <c:v>3383585.9223003057</c:v>
                </c:pt>
                <c:pt idx="222">
                  <c:v>3401448.101467798</c:v>
                </c:pt>
                <c:pt idx="223">
                  <c:v>3419313.5923731965</c:v>
                </c:pt>
                <c:pt idx="224">
                  <c:v>3437182.3184464746</c:v>
                </c:pt>
                <c:pt idx="225">
                  <c:v>3455054.2047853158</c:v>
                </c:pt>
                <c:pt idx="226">
                  <c:v>3472929.1781223249</c:v>
                </c:pt>
                <c:pt idx="227">
                  <c:v>3490807.1667927615</c:v>
                </c:pt>
                <c:pt idx="228">
                  <c:v>3508688.1007027929</c:v>
                </c:pt>
                <c:pt idx="229">
                  <c:v>3526571.9112982526</c:v>
                </c:pt>
                <c:pt idx="230">
                  <c:v>3544458.5315339123</c:v>
                </c:pt>
                <c:pt idx="231">
                  <c:v>3562347.8958432619</c:v>
                </c:pt>
                <c:pt idx="232">
                  <c:v>3580239.9401087845</c:v>
                </c:pt>
                <c:pt idx="233">
                  <c:v>3598134.6016327254</c:v>
                </c:pt>
                <c:pt idx="234">
                  <c:v>3616031.8191083632</c:v>
                </c:pt>
                <c:pt idx="235">
                  <c:v>3633931.5325917555</c:v>
                </c:pt>
                <c:pt idx="236">
                  <c:v>3651833.6834739773</c:v>
                </c:pt>
                <c:pt idx="237">
                  <c:v>3669738.214453822</c:v>
                </c:pt>
                <c:pt idx="238">
                  <c:v>3687645.0695109954</c:v>
                </c:pt>
                <c:pt idx="239">
                  <c:v>3705554.1938797561</c:v>
                </c:pt>
                <c:pt idx="240">
                  <c:v>3723465.5340230297</c:v>
                </c:pt>
                <c:pt idx="241">
                  <c:v>3741379.0376069779</c:v>
                </c:pt>
                <c:pt idx="242">
                  <c:v>3759294.6534760194</c:v>
                </c:pt>
                <c:pt idx="243">
                  <c:v>3777212.3316282928</c:v>
                </c:pt>
                <c:pt idx="244">
                  <c:v>3795132.0231915629</c:v>
                </c:pt>
                <c:pt idx="245">
                  <c:v>3813053.6803995706</c:v>
                </c:pt>
                <c:pt idx="246">
                  <c:v>3830977.2565687951</c:v>
                </c:pt>
                <c:pt idx="247">
                  <c:v>3848902.706075659</c:v>
                </c:pt>
                <c:pt idx="248">
                  <c:v>3866829.9843341438</c:v>
                </c:pt>
                <c:pt idx="249">
                  <c:v>3884759.0477738176</c:v>
                </c:pt>
                <c:pt idx="250">
                  <c:v>3902689.8538182741</c:v>
                </c:pt>
                <c:pt idx="251">
                  <c:v>3920622.3608639752</c:v>
                </c:pt>
                <c:pt idx="252">
                  <c:v>3938556.5282594897</c:v>
                </c:pt>
                <c:pt idx="253">
                  <c:v>3956492.3162851194</c:v>
                </c:pt>
                <c:pt idx="254">
                  <c:v>3974429.6861329228</c:v>
                </c:pt>
                <c:pt idx="255">
                  <c:v>3992368.5998871028</c:v>
                </c:pt>
                <c:pt idx="256">
                  <c:v>4010309.0205047829</c:v>
                </c:pt>
                <c:pt idx="257">
                  <c:v>4028250.9117971528</c:v>
                </c:pt>
                <c:pt idx="258">
                  <c:v>4046194.2384109618</c:v>
                </c:pt>
                <c:pt idx="259">
                  <c:v>4064138.965810393</c:v>
                </c:pt>
                <c:pt idx="260">
                  <c:v>4082085.0602592826</c:v>
                </c:pt>
                <c:pt idx="261">
                  <c:v>4100032.4888036717</c:v>
                </c:pt>
                <c:pt idx="262">
                  <c:v>4117981.2192547238</c:v>
                </c:pt>
                <c:pt idx="263">
                  <c:v>4135931.2201719722</c:v>
                </c:pt>
                <c:pt idx="264">
                  <c:v>4153882.4608468805</c:v>
                </c:pt>
                <c:pt idx="265">
                  <c:v>4171834.911286762</c:v>
                </c:pt>
                <c:pt idx="266">
                  <c:v>4189788.5421989933</c:v>
                </c:pt>
                <c:pt idx="267">
                  <c:v>4207743.3249755558</c:v>
                </c:pt>
                <c:pt idx="268">
                  <c:v>4225699.2316778833</c:v>
                </c:pt>
                <c:pt idx="269">
                  <c:v>4243656.2350220261</c:v>
                </c:pt>
                <c:pt idx="270">
                  <c:v>4261614.308364097</c:v>
                </c:pt>
                <c:pt idx="271">
                  <c:v>4279573.4256860223</c:v>
                </c:pt>
                <c:pt idx="272">
                  <c:v>4297533.5615815939</c:v>
                </c:pt>
                <c:pt idx="273">
                  <c:v>4315494.691242788</c:v>
                </c:pt>
                <c:pt idx="274">
                  <c:v>4333456.7904463727</c:v>
                </c:pt>
                <c:pt idx="275">
                  <c:v>4351419.8355407976</c:v>
                </c:pt>
                <c:pt idx="276">
                  <c:v>4369383.803433341</c:v>
                </c:pt>
                <c:pt idx="277">
                  <c:v>4387348.6715775337</c:v>
                </c:pt>
                <c:pt idx="278">
                  <c:v>4405314.4179608431</c:v>
                </c:pt>
                <c:pt idx="279">
                  <c:v>4423281.0210926058</c:v>
                </c:pt>
                <c:pt idx="280">
                  <c:v>4441248.4599922216</c:v>
                </c:pt>
                <c:pt idx="281">
                  <c:v>4459216.7141775936</c:v>
                </c:pt>
                <c:pt idx="282">
                  <c:v>4477185.7636538045</c:v>
                </c:pt>
                <c:pt idx="283">
                  <c:v>4495155.5889020432</c:v>
                </c:pt>
                <c:pt idx="284">
                  <c:v>4513126.1708687535</c:v>
                </c:pt>
                <c:pt idx="285">
                  <c:v>4531097.4909550166</c:v>
                </c:pt>
                <c:pt idx="286">
                  <c:v>4549069.5310061714</c:v>
                </c:pt>
                <c:pt idx="287">
                  <c:v>4567042.2733016359</c:v>
                </c:pt>
                <c:pt idx="288">
                  <c:v>4585015.7005449561</c:v>
                </c:pt>
                <c:pt idx="289">
                  <c:v>4602989.7958540749</c:v>
                </c:pt>
                <c:pt idx="290">
                  <c:v>4620964.5427518012</c:v>
                </c:pt>
                <c:pt idx="291">
                  <c:v>4638939.9251564788</c:v>
                </c:pt>
                <c:pt idx="292">
                  <c:v>4656915.9273728766</c:v>
                </c:pt>
                <c:pt idx="293">
                  <c:v>4674892.534083249</c:v>
                </c:pt>
                <c:pt idx="294">
                  <c:v>4692869.7303386228</c:v>
                </c:pt>
                <c:pt idx="295">
                  <c:v>4710847.5015502339</c:v>
                </c:pt>
                <c:pt idx="296">
                  <c:v>4728825.8334811945</c:v>
                </c:pt>
                <c:pt idx="297">
                  <c:v>4746804.7122383043</c:v>
                </c:pt>
                <c:pt idx="298">
                  <c:v>4764784.1242640605</c:v>
                </c:pt>
                <c:pt idx="299">
                  <c:v>4782764.0563288452</c:v>
                </c:pt>
                <c:pt idx="300">
                  <c:v>4800744.4955232712</c:v>
                </c:pt>
                <c:pt idx="301">
                  <c:v>4818725.4292507088</c:v>
                </c:pt>
                <c:pt idx="302">
                  <c:v>4836706.8452199697</c:v>
                </c:pt>
                <c:pt idx="303">
                  <c:v>4854688.7314381581</c:v>
                </c:pt>
                <c:pt idx="304">
                  <c:v>4872671.0762036806</c:v>
                </c:pt>
                <c:pt idx="305">
                  <c:v>4890653.8680994008</c:v>
                </c:pt>
                <c:pt idx="306">
                  <c:v>4908637.0959859649</c:v>
                </c:pt>
                <c:pt idx="307">
                  <c:v>4926620.7489952575</c:v>
                </c:pt>
                <c:pt idx="308">
                  <c:v>4944604.8165240148</c:v>
                </c:pt>
                <c:pt idx="309">
                  <c:v>4962589.2882275786</c:v>
                </c:pt>
                <c:pt idx="310">
                  <c:v>4980574.1540137911</c:v>
                </c:pt>
                <c:pt idx="311">
                  <c:v>4998559.4040370211</c:v>
                </c:pt>
                <c:pt idx="312">
                  <c:v>5016545.028692333</c:v>
                </c:pt>
                <c:pt idx="313">
                  <c:v>5034531.0186097808</c:v>
                </c:pt>
                <c:pt idx="314">
                  <c:v>5052517.3646488395</c:v>
                </c:pt>
                <c:pt idx="315">
                  <c:v>5070504.0578929465</c:v>
                </c:pt>
                <c:pt idx="316">
                  <c:v>5088491.0896441871</c:v>
                </c:pt>
                <c:pt idx="317">
                  <c:v>5106478.451418086</c:v>
                </c:pt>
                <c:pt idx="318">
                  <c:v>5124466.1349385204</c:v>
                </c:pt>
                <c:pt idx="319">
                  <c:v>5142454.1321327575</c:v>
                </c:pt>
                <c:pt idx="320">
                  <c:v>5160442.4351265887</c:v>
                </c:pt>
                <c:pt idx="321">
                  <c:v>5178431.0362395933</c:v>
                </c:pt>
                <c:pt idx="322">
                  <c:v>5196419.9279804965</c:v>
                </c:pt>
                <c:pt idx="323">
                  <c:v>5214409.1030426426</c:v>
                </c:pt>
                <c:pt idx="324">
                  <c:v>5232398.554299566</c:v>
                </c:pt>
                <c:pt idx="325">
                  <c:v>5250388.274800675</c:v>
                </c:pt>
                <c:pt idx="326">
                  <c:v>5268378.2577670151</c:v>
                </c:pt>
                <c:pt idx="327">
                  <c:v>5286368.4965871507</c:v>
                </c:pt>
                <c:pt idx="328">
                  <c:v>5304358.9848131333</c:v>
                </c:pt>
                <c:pt idx="329">
                  <c:v>5322349.7161565581</c:v>
                </c:pt>
                <c:pt idx="330">
                  <c:v>5340340.6844847212</c:v>
                </c:pt>
                <c:pt idx="331">
                  <c:v>5358331.8838168625</c:v>
                </c:pt>
                <c:pt idx="332">
                  <c:v>5376323.3083204906</c:v>
                </c:pt>
                <c:pt idx="333">
                  <c:v>5394314.9523078036</c:v>
                </c:pt>
                <c:pt idx="334">
                  <c:v>5412306.8102321848</c:v>
                </c:pt>
                <c:pt idx="335">
                  <c:v>5430298.8766847812</c:v>
                </c:pt>
                <c:pt idx="336">
                  <c:v>5448291.1463911636</c:v>
                </c:pt>
                <c:pt idx="337">
                  <c:v>5466283.6142080743</c:v>
                </c:pt>
                <c:pt idx="338">
                  <c:v>5484276.2751202257</c:v>
                </c:pt>
                <c:pt idx="339">
                  <c:v>5502269.1242372058</c:v>
                </c:pt>
                <c:pt idx="340">
                  <c:v>5520262.1567904297</c:v>
                </c:pt>
                <c:pt idx="341">
                  <c:v>5538255.3681301773</c:v>
                </c:pt>
                <c:pt idx="342">
                  <c:v>5556248.7537226984</c:v>
                </c:pt>
                <c:pt idx="343">
                  <c:v>5574242.3091473831</c:v>
                </c:pt>
                <c:pt idx="344">
                  <c:v>5592236.0300939996</c:v>
                </c:pt>
                <c:pt idx="345">
                  <c:v>5610229.912360006</c:v>
                </c:pt>
                <c:pt idx="346">
                  <c:v>5628223.9518479025</c:v>
                </c:pt>
                <c:pt idx="347">
                  <c:v>5646218.1445626756</c:v>
                </c:pt>
                <c:pt idx="348">
                  <c:v>5664212.4866092876</c:v>
                </c:pt>
                <c:pt idx="349">
                  <c:v>5682206.9741902174</c:v>
                </c:pt>
                <c:pt idx="350">
                  <c:v>5700201.6036030808</c:v>
                </c:pt>
                <c:pt idx="351">
                  <c:v>5718196.3712382922</c:v>
                </c:pt>
                <c:pt idx="352">
                  <c:v>5736191.2735767839</c:v>
                </c:pt>
                <c:pt idx="353">
                  <c:v>5754186.3071877807</c:v>
                </c:pt>
                <c:pt idx="354">
                  <c:v>5772181.4687266387</c:v>
                </c:pt>
                <c:pt idx="355">
                  <c:v>5790176.754932709</c:v>
                </c:pt>
                <c:pt idx="356">
                  <c:v>5808172.1626272872</c:v>
                </c:pt>
                <c:pt idx="357">
                  <c:v>5826167.6887115836</c:v>
                </c:pt>
                <c:pt idx="358">
                  <c:v>5844163.3301647501</c:v>
                </c:pt>
                <c:pt idx="359">
                  <c:v>5862159.0840419652</c:v>
                </c:pt>
                <c:pt idx="360">
                  <c:v>5880154.9474725537</c:v>
                </c:pt>
                <c:pt idx="361">
                  <c:v>5898150.9176581511</c:v>
                </c:pt>
                <c:pt idx="362">
                  <c:v>5916146.9918709202</c:v>
                </c:pt>
                <c:pt idx="363">
                  <c:v>5934143.1674518017</c:v>
                </c:pt>
                <c:pt idx="364">
                  <c:v>5952139.441808817</c:v>
                </c:pt>
                <c:pt idx="365">
                  <c:v>5970135.8124154005</c:v>
                </c:pt>
                <c:pt idx="366">
                  <c:v>5988132.2768087825</c:v>
                </c:pt>
                <c:pt idx="367">
                  <c:v>6006128.8325884016</c:v>
                </c:pt>
                <c:pt idx="368">
                  <c:v>6024125.4774143668</c:v>
                </c:pt>
                <c:pt idx="369">
                  <c:v>6042122.2090059444</c:v>
                </c:pt>
                <c:pt idx="370">
                  <c:v>6060119.0251400936</c:v>
                </c:pt>
                <c:pt idx="371">
                  <c:v>6078115.9236500291</c:v>
                </c:pt>
                <c:pt idx="372">
                  <c:v>6096112.9024238186</c:v>
                </c:pt>
                <c:pt idx="373">
                  <c:v>6114109.9594030222</c:v>
                </c:pt>
                <c:pt idx="374">
                  <c:v>6132107.0925813559</c:v>
                </c:pt>
                <c:pt idx="375">
                  <c:v>6150104.3000033936</c:v>
                </c:pt>
                <c:pt idx="376">
                  <c:v>6168101.5797632998</c:v>
                </c:pt>
                <c:pt idx="377">
                  <c:v>6186098.930003589</c:v>
                </c:pt>
                <c:pt idx="378">
                  <c:v>6204096.3489139164</c:v>
                </c:pt>
                <c:pt idx="379">
                  <c:v>6222093.834729909</c:v>
                </c:pt>
                <c:pt idx="380">
                  <c:v>6240091.38573201</c:v>
                </c:pt>
                <c:pt idx="381">
                  <c:v>6258089.0002443567</c:v>
                </c:pt>
                <c:pt idx="382">
                  <c:v>6276086.6766336877</c:v>
                </c:pt>
                <c:pt idx="383">
                  <c:v>6294084.4133082852</c:v>
                </c:pt>
                <c:pt idx="384">
                  <c:v>6312082.2087169159</c:v>
                </c:pt>
                <c:pt idx="385">
                  <c:v>6330080.0613478385</c:v>
                </c:pt>
                <c:pt idx="386">
                  <c:v>6348077.9697277946</c:v>
                </c:pt>
                <c:pt idx="387">
                  <c:v>6366075.932421051</c:v>
                </c:pt>
                <c:pt idx="388">
                  <c:v>6384073.9480284629</c:v>
                </c:pt>
                <c:pt idx="389">
                  <c:v>6402072.0151865436</c:v>
                </c:pt>
                <c:pt idx="390">
                  <c:v>6420070.132566574</c:v>
                </c:pt>
                <c:pt idx="391">
                  <c:v>6438068.2988737328</c:v>
                </c:pt>
                <c:pt idx="392">
                  <c:v>6456066.5128462361</c:v>
                </c:pt>
                <c:pt idx="393">
                  <c:v>6474064.7732545109</c:v>
                </c:pt>
                <c:pt idx="394">
                  <c:v>6492063.078900381</c:v>
                </c:pt>
                <c:pt idx="395">
                  <c:v>6510061.4286162825</c:v>
                </c:pt>
                <c:pt idx="396">
                  <c:v>6528059.8212644793</c:v>
                </c:pt>
                <c:pt idx="397">
                  <c:v>6546058.2557363231</c:v>
                </c:pt>
                <c:pt idx="398">
                  <c:v>6564056.7309515215</c:v>
                </c:pt>
                <c:pt idx="399">
                  <c:v>6582055.2458574064</c:v>
                </c:pt>
                <c:pt idx="400">
                  <c:v>6600053.7994282516</c:v>
                </c:pt>
                <c:pt idx="401">
                  <c:v>6618052.3906645896</c:v>
                </c:pt>
                <c:pt idx="402">
                  <c:v>6636051.0185925374</c:v>
                </c:pt>
                <c:pt idx="403">
                  <c:v>6654049.6822631676</c:v>
                </c:pt>
                <c:pt idx="404">
                  <c:v>6672048.3807518603</c:v>
                </c:pt>
                <c:pt idx="405">
                  <c:v>6690047.113157697</c:v>
                </c:pt>
                <c:pt idx="406">
                  <c:v>6708045.8786028549</c:v>
                </c:pt>
                <c:pt idx="407">
                  <c:v>6726044.6762320362</c:v>
                </c:pt>
                <c:pt idx="408">
                  <c:v>6744043.5052118739</c:v>
                </c:pt>
                <c:pt idx="409">
                  <c:v>6762042.3647303963</c:v>
                </c:pt>
                <c:pt idx="410">
                  <c:v>6780041.2539964728</c:v>
                </c:pt>
                <c:pt idx="411">
                  <c:v>6798040.1722392887</c:v>
                </c:pt>
                <c:pt idx="412">
                  <c:v>6816039.1187078338</c:v>
                </c:pt>
                <c:pt idx="413">
                  <c:v>6834038.0926703913</c:v>
                </c:pt>
                <c:pt idx="414">
                  <c:v>6852037.0934140533</c:v>
                </c:pt>
                <c:pt idx="415">
                  <c:v>6870036.1202442432</c:v>
                </c:pt>
                <c:pt idx="416">
                  <c:v>6888035.1724842433</c:v>
                </c:pt>
                <c:pt idx="417">
                  <c:v>6906034.249474748</c:v>
                </c:pt>
                <c:pt idx="418">
                  <c:v>6924033.3505734215</c:v>
                </c:pt>
                <c:pt idx="419">
                  <c:v>6942032.4751544539</c:v>
                </c:pt>
                <c:pt idx="420">
                  <c:v>6960031.6226081569</c:v>
                </c:pt>
                <c:pt idx="421">
                  <c:v>6978030.7923405403</c:v>
                </c:pt>
                <c:pt idx="422">
                  <c:v>6996029.9837729167</c:v>
                </c:pt>
                <c:pt idx="423">
                  <c:v>7014029.1963415127</c:v>
                </c:pt>
                <c:pt idx="424">
                  <c:v>7032028.4294970911</c:v>
                </c:pt>
                <c:pt idx="425">
                  <c:v>7050027.6827045679</c:v>
                </c:pt>
                <c:pt idx="426">
                  <c:v>7068026.9554426661</c:v>
                </c:pt>
                <c:pt idx="427">
                  <c:v>7086026.247203555</c:v>
                </c:pt>
                <c:pt idx="428">
                  <c:v>7104025.5574925076</c:v>
                </c:pt>
                <c:pt idx="429">
                  <c:v>7122024.8858275656</c:v>
                </c:pt>
                <c:pt idx="430">
                  <c:v>7140024.2317392193</c:v>
                </c:pt>
                <c:pt idx="431">
                  <c:v>7158023.5947700767</c:v>
                </c:pt>
                <c:pt idx="432">
                  <c:v>7176022.974474567</c:v>
                </c:pt>
                <c:pt idx="433">
                  <c:v>7194022.3704186324</c:v>
                </c:pt>
                <c:pt idx="434">
                  <c:v>7212021.7821794255</c:v>
                </c:pt>
                <c:pt idx="435">
                  <c:v>7230021.2093450427</c:v>
                </c:pt>
                <c:pt idx="436">
                  <c:v>7248020.6515142219</c:v>
                </c:pt>
                <c:pt idx="437">
                  <c:v>7266020.1082960796</c:v>
                </c:pt>
                <c:pt idx="438">
                  <c:v>7284019.5793098528</c:v>
                </c:pt>
                <c:pt idx="439">
                  <c:v>7302019.0641846247</c:v>
                </c:pt>
                <c:pt idx="440">
                  <c:v>7320018.5625590794</c:v>
                </c:pt>
                <c:pt idx="441">
                  <c:v>7338018.0740812561</c:v>
                </c:pt>
                <c:pt idx="442">
                  <c:v>7356017.5984083135</c:v>
                </c:pt>
                <c:pt idx="443">
                  <c:v>7374017.1352062803</c:v>
                </c:pt>
                <c:pt idx="444">
                  <c:v>7392016.6841498483</c:v>
                </c:pt>
                <c:pt idx="445">
                  <c:v>7410016.2449221332</c:v>
                </c:pt>
                <c:pt idx="446">
                  <c:v>7428015.8172144638</c:v>
                </c:pt>
                <c:pt idx="447">
                  <c:v>7446015.400726174</c:v>
                </c:pt>
                <c:pt idx="448">
                  <c:v>7464014.9951643962</c:v>
                </c:pt>
                <c:pt idx="449">
                  <c:v>7482014.6002438543</c:v>
                </c:pt>
                <c:pt idx="450">
                  <c:v>7500014.2156866761</c:v>
                </c:pt>
                <c:pt idx="451">
                  <c:v>7518013.8412222043</c:v>
                </c:pt>
                <c:pt idx="452">
                  <c:v>7536013.4765867954</c:v>
                </c:pt>
                <c:pt idx="453">
                  <c:v>7554013.1215236578</c:v>
                </c:pt>
                <c:pt idx="454">
                  <c:v>7572012.7757826699</c:v>
                </c:pt>
                <c:pt idx="455">
                  <c:v>7590012.4391201986</c:v>
                </c:pt>
                <c:pt idx="456">
                  <c:v>7608012.1112989476</c:v>
                </c:pt>
                <c:pt idx="457">
                  <c:v>7626011.7920877812</c:v>
                </c:pt>
                <c:pt idx="458">
                  <c:v>7644011.4812615709</c:v>
                </c:pt>
                <c:pt idx="459">
                  <c:v>7662011.1786010442</c:v>
                </c:pt>
                <c:pt idx="460">
                  <c:v>7680010.8838926228</c:v>
                </c:pt>
                <c:pt idx="461">
                  <c:v>7698010.5969282854</c:v>
                </c:pt>
                <c:pt idx="462">
                  <c:v>7716010.3175054248</c:v>
                </c:pt>
                <c:pt idx="463">
                  <c:v>7734010.0454267003</c:v>
                </c:pt>
                <c:pt idx="464">
                  <c:v>7752009.7804999035</c:v>
                </c:pt>
                <c:pt idx="465">
                  <c:v>7770009.522537834</c:v>
                </c:pt>
                <c:pt idx="466">
                  <c:v>7788009.2713581659</c:v>
                </c:pt>
                <c:pt idx="467">
                  <c:v>7806009.0267833117</c:v>
                </c:pt>
                <c:pt idx="468">
                  <c:v>7824008.788640311</c:v>
                </c:pt>
                <c:pt idx="469">
                  <c:v>7842008.5567607153</c:v>
                </c:pt>
                <c:pt idx="470">
                  <c:v>7860008.3309804518</c:v>
                </c:pt>
                <c:pt idx="471">
                  <c:v>7878008.1111397408</c:v>
                </c:pt>
                <c:pt idx="472">
                  <c:v>7896007.8970829435</c:v>
                </c:pt>
                <c:pt idx="473">
                  <c:v>7914007.6886584945</c:v>
                </c:pt>
                <c:pt idx="474">
                  <c:v>7932007.4857187774</c:v>
                </c:pt>
                <c:pt idx="475">
                  <c:v>7950007.2881200165</c:v>
                </c:pt>
                <c:pt idx="476">
                  <c:v>7968007.0957221929</c:v>
                </c:pt>
                <c:pt idx="477">
                  <c:v>7986006.9083889406</c:v>
                </c:pt>
                <c:pt idx="478">
                  <c:v>8004006.7259874456</c:v>
                </c:pt>
                <c:pt idx="479">
                  <c:v>8022006.5483883638</c:v>
                </c:pt>
                <c:pt idx="480">
                  <c:v>8040006.3754657265</c:v>
                </c:pt>
                <c:pt idx="481">
                  <c:v>8058006.2070968486</c:v>
                </c:pt>
                <c:pt idx="482">
                  <c:v>8076006.0431622528</c:v>
                </c:pt>
                <c:pt idx="483">
                  <c:v>8094005.8835455794</c:v>
                </c:pt>
                <c:pt idx="484">
                  <c:v>8112005.7281335108</c:v>
                </c:pt>
                <c:pt idx="485">
                  <c:v>8130005.5768156797</c:v>
                </c:pt>
                <c:pt idx="486">
                  <c:v>8148005.4294846151</c:v>
                </c:pt>
                <c:pt idx="487">
                  <c:v>8166005.286035642</c:v>
                </c:pt>
                <c:pt idx="488">
                  <c:v>8184005.1463668291</c:v>
                </c:pt>
                <c:pt idx="489">
                  <c:v>8202005.0103789046</c:v>
                </c:pt>
                <c:pt idx="490">
                  <c:v>8220004.8779751975</c:v>
                </c:pt>
                <c:pt idx="491">
                  <c:v>8238004.7490615565</c:v>
                </c:pt>
                <c:pt idx="492">
                  <c:v>8256004.6235462986</c:v>
                </c:pt>
                <c:pt idx="493">
                  <c:v>8274004.5013401341</c:v>
                </c:pt>
                <c:pt idx="494">
                  <c:v>8292004.3823561128</c:v>
                </c:pt>
                <c:pt idx="495">
                  <c:v>8310004.2665095553</c:v>
                </c:pt>
                <c:pt idx="496">
                  <c:v>8328004.153718004</c:v>
                </c:pt>
                <c:pt idx="497">
                  <c:v>8346004.043901151</c:v>
                </c:pt>
                <c:pt idx="498">
                  <c:v>8364003.936980797</c:v>
                </c:pt>
                <c:pt idx="499">
                  <c:v>8382003.8328807876</c:v>
                </c:pt>
                <c:pt idx="500">
                  <c:v>8400003.7315269597</c:v>
                </c:pt>
                <c:pt idx="501">
                  <c:v>8418003.6328470986</c:v>
                </c:pt>
                <c:pt idx="502">
                  <c:v>8436003.5367708728</c:v>
                </c:pt>
                <c:pt idx="503">
                  <c:v>8454003.4432297982</c:v>
                </c:pt>
                <c:pt idx="504">
                  <c:v>8472003.3521571886</c:v>
                </c:pt>
                <c:pt idx="505">
                  <c:v>8490003.2634880915</c:v>
                </c:pt>
                <c:pt idx="506">
                  <c:v>8508003.1771592703</c:v>
                </c:pt>
                <c:pt idx="507">
                  <c:v>8526003.0931091402</c:v>
                </c:pt>
                <c:pt idx="508">
                  <c:v>8544003.0112777278</c:v>
                </c:pt>
                <c:pt idx="509">
                  <c:v>8562002.9316066373</c:v>
                </c:pt>
                <c:pt idx="510">
                  <c:v>8580002.8540390022</c:v>
                </c:pt>
                <c:pt idx="511">
                  <c:v>8598002.778519446</c:v>
                </c:pt>
                <c:pt idx="512">
                  <c:v>8616002.7049940433</c:v>
                </c:pt>
                <c:pt idx="513">
                  <c:v>8634002.6334102862</c:v>
                </c:pt>
                <c:pt idx="514">
                  <c:v>8652002.563717043</c:v>
                </c:pt>
                <c:pt idx="515">
                  <c:v>8670002.4958645254</c:v>
                </c:pt>
                <c:pt idx="516">
                  <c:v>8688002.4298042469</c:v>
                </c:pt>
                <c:pt idx="517">
                  <c:v>8706002.3654889986</c:v>
                </c:pt>
                <c:pt idx="518">
                  <c:v>8724002.3028728031</c:v>
                </c:pt>
                <c:pt idx="519">
                  <c:v>8742002.2419109028</c:v>
                </c:pt>
                <c:pt idx="520">
                  <c:v>8760002.1825597025</c:v>
                </c:pt>
                <c:pt idx="521">
                  <c:v>8778002.1247767583</c:v>
                </c:pt>
                <c:pt idx="522">
                  <c:v>8796002.0685207378</c:v>
                </c:pt>
                <c:pt idx="523">
                  <c:v>8814002.0137513969</c:v>
                </c:pt>
                <c:pt idx="524">
                  <c:v>8832001.9604295455</c:v>
                </c:pt>
                <c:pt idx="525">
                  <c:v>8850001.9085170273</c:v>
                </c:pt>
                <c:pt idx="526">
                  <c:v>8868001.8579766862</c:v>
                </c:pt>
                <c:pt idx="527">
                  <c:v>8886001.8087723386</c:v>
                </c:pt>
                <c:pt idx="528">
                  <c:v>8904001.7608687598</c:v>
                </c:pt>
                <c:pt idx="529">
                  <c:v>8922001.714231642</c:v>
                </c:pt>
                <c:pt idx="530">
                  <c:v>8940001.6688275859</c:v>
                </c:pt>
                <c:pt idx="531">
                  <c:v>8958001.6246240698</c:v>
                </c:pt>
                <c:pt idx="532">
                  <c:v>8976001.5815894194</c:v>
                </c:pt>
                <c:pt idx="533">
                  <c:v>8994001.5396928042</c:v>
                </c:pt>
                <c:pt idx="534">
                  <c:v>9012001.4989042003</c:v>
                </c:pt>
                <c:pt idx="535">
                  <c:v>9030001.4591943678</c:v>
                </c:pt>
                <c:pt idx="536">
                  <c:v>9048001.4205348417</c:v>
                </c:pt>
                <c:pt idx="537">
                  <c:v>9066001.3828979097</c:v>
                </c:pt>
                <c:pt idx="538">
                  <c:v>9084001.3462565746</c:v>
                </c:pt>
                <c:pt idx="539">
                  <c:v>9102001.3105845656</c:v>
                </c:pt>
                <c:pt idx="540">
                  <c:v>9120001.2758562975</c:v>
                </c:pt>
                <c:pt idx="541">
                  <c:v>9138001.2420468498</c:v>
                </c:pt>
                <c:pt idx="542">
                  <c:v>9156001.209131971</c:v>
                </c:pt>
                <c:pt idx="543">
                  <c:v>9174001.1770880409</c:v>
                </c:pt>
                <c:pt idx="544">
                  <c:v>9192001.1458920594</c:v>
                </c:pt>
                <c:pt idx="545">
                  <c:v>9210001.1155216396</c:v>
                </c:pt>
                <c:pt idx="546">
                  <c:v>9228001.0859549791</c:v>
                </c:pt>
                <c:pt idx="547">
                  <c:v>9246001.0571708474</c:v>
                </c:pt>
                <c:pt idx="548">
                  <c:v>9264001.0291485731</c:v>
                </c:pt>
                <c:pt idx="549">
                  <c:v>9282001.0018680412</c:v>
                </c:pt>
                <c:pt idx="550">
                  <c:v>9300000.9753096495</c:v>
                </c:pt>
                <c:pt idx="551">
                  <c:v>9318000.9494543225</c:v>
                </c:pt>
                <c:pt idx="552">
                  <c:v>9336000.9242834859</c:v>
                </c:pt>
                <c:pt idx="553">
                  <c:v>9354000.8997790478</c:v>
                </c:pt>
                <c:pt idx="554">
                  <c:v>9372000.8759234082</c:v>
                </c:pt>
                <c:pt idx="555">
                  <c:v>9390000.8526994158</c:v>
                </c:pt>
                <c:pt idx="556">
                  <c:v>9408000.8300903793</c:v>
                </c:pt>
                <c:pt idx="557">
                  <c:v>9426000.8080800436</c:v>
                </c:pt>
                <c:pt idx="558">
                  <c:v>9444000.7866525911</c:v>
                </c:pt>
                <c:pt idx="559">
                  <c:v>9462000.7657926008</c:v>
                </c:pt>
                <c:pt idx="560">
                  <c:v>9480000.7454850823</c:v>
                </c:pt>
                <c:pt idx="561">
                  <c:v>9498000.7257154267</c:v>
                </c:pt>
                <c:pt idx="562">
                  <c:v>9516000.7064694148</c:v>
                </c:pt>
                <c:pt idx="563">
                  <c:v>9534000.6877331957</c:v>
                </c:pt>
                <c:pt idx="564">
                  <c:v>9552000.6694932953</c:v>
                </c:pt>
                <c:pt idx="565">
                  <c:v>9570000.6517365873</c:v>
                </c:pt>
                <c:pt idx="566">
                  <c:v>9588000.6344502941</c:v>
                </c:pt>
                <c:pt idx="567">
                  <c:v>9606000.6176219713</c:v>
                </c:pt>
                <c:pt idx="568">
                  <c:v>9624000.6012395099</c:v>
                </c:pt>
                <c:pt idx="569">
                  <c:v>9642000.5852911118</c:v>
                </c:pt>
                <c:pt idx="570">
                  <c:v>9660000.5697652958</c:v>
                </c:pt>
                <c:pt idx="571">
                  <c:v>9678000.5546508878</c:v>
                </c:pt>
                <c:pt idx="572">
                  <c:v>9696000.5399370007</c:v>
                </c:pt>
                <c:pt idx="573">
                  <c:v>9714000.5256130341</c:v>
                </c:pt>
                <c:pt idx="574">
                  <c:v>9732000.5116686765</c:v>
                </c:pt>
                <c:pt idx="575">
                  <c:v>9750000.4980938789</c:v>
                </c:pt>
                <c:pt idx="576">
                  <c:v>9768000.4848788641</c:v>
                </c:pt>
                <c:pt idx="577">
                  <c:v>9786000.4720141124</c:v>
                </c:pt>
                <c:pt idx="578">
                  <c:v>9804000.4594903532</c:v>
                </c:pt>
                <c:pt idx="579">
                  <c:v>9822000.4472985603</c:v>
                </c:pt>
                <c:pt idx="580">
                  <c:v>9840000.4354299475</c:v>
                </c:pt>
                <c:pt idx="581">
                  <c:v>9858000.4238759596</c:v>
                </c:pt>
                <c:pt idx="582">
                  <c:v>9876000.412628267</c:v>
                </c:pt>
                <c:pt idx="583">
                  <c:v>9894000.4016787689</c:v>
                </c:pt>
                <c:pt idx="584">
                  <c:v>9912000.3910195604</c:v>
                </c:pt>
                <c:pt idx="585">
                  <c:v>9930000.3806429617</c:v>
                </c:pt>
                <c:pt idx="586">
                  <c:v>9948000.3705414906</c:v>
                </c:pt>
                <c:pt idx="587">
                  <c:v>9966000.3607078604</c:v>
                </c:pt>
                <c:pt idx="588">
                  <c:v>9984000.3511349782</c:v>
                </c:pt>
                <c:pt idx="589">
                  <c:v>10002000.341815943</c:v>
                </c:pt>
                <c:pt idx="590">
                  <c:v>10020000.332744027</c:v>
                </c:pt>
                <c:pt idx="591">
                  <c:v>10038000.323912688</c:v>
                </c:pt>
                <c:pt idx="592">
                  <c:v>10056000.315315556</c:v>
                </c:pt>
                <c:pt idx="593">
                  <c:v>10074000.306946425</c:v>
                </c:pt>
                <c:pt idx="594">
                  <c:v>10092000.298799256</c:v>
                </c:pt>
                <c:pt idx="595">
                  <c:v>10110000.290868171</c:v>
                </c:pt>
                <c:pt idx="596">
                  <c:v>10128000.283147445</c:v>
                </c:pt>
                <c:pt idx="597">
                  <c:v>10146000.275631504</c:v>
                </c:pt>
                <c:pt idx="598">
                  <c:v>10164000.268314926</c:v>
                </c:pt>
                <c:pt idx="599">
                  <c:v>10182000.261192426</c:v>
                </c:pt>
                <c:pt idx="600">
                  <c:v>10200000.254258864</c:v>
                </c:pt>
                <c:pt idx="601">
                  <c:v>10218000.24750923</c:v>
                </c:pt>
                <c:pt idx="602">
                  <c:v>10236000.240938656</c:v>
                </c:pt>
                <c:pt idx="603">
                  <c:v>10254000.234542392</c:v>
                </c:pt>
                <c:pt idx="604">
                  <c:v>10272000.228315823</c:v>
                </c:pt>
                <c:pt idx="605">
                  <c:v>10290000.222254448</c:v>
                </c:pt>
                <c:pt idx="606">
                  <c:v>10308000.21635389</c:v>
                </c:pt>
                <c:pt idx="607">
                  <c:v>10326000.210609889</c:v>
                </c:pt>
                <c:pt idx="608">
                  <c:v>10344000.205018295</c:v>
                </c:pt>
                <c:pt idx="609">
                  <c:v>10362000.199575067</c:v>
                </c:pt>
                <c:pt idx="610">
                  <c:v>10380000.194276271</c:v>
                </c:pt>
                <c:pt idx="611">
                  <c:v>10398000.18911808</c:v>
                </c:pt>
                <c:pt idx="612">
                  <c:v>10416000.184096768</c:v>
                </c:pt>
                <c:pt idx="613">
                  <c:v>10434000.179208705</c:v>
                </c:pt>
                <c:pt idx="614">
                  <c:v>10452000.174450357</c:v>
                </c:pt>
                <c:pt idx="615">
                  <c:v>10470000.169818288</c:v>
                </c:pt>
                <c:pt idx="616">
                  <c:v>10488000.165309146</c:v>
                </c:pt>
                <c:pt idx="617">
                  <c:v>10506000.160919677</c:v>
                </c:pt>
                <c:pt idx="618">
                  <c:v>10524000.156646704</c:v>
                </c:pt>
                <c:pt idx="619">
                  <c:v>10542000.152487136</c:v>
                </c:pt>
                <c:pt idx="620">
                  <c:v>10560000.148437971</c:v>
                </c:pt>
                <c:pt idx="621">
                  <c:v>10578000.144496277</c:v>
                </c:pt>
                <c:pt idx="622">
                  <c:v>10596000.140659207</c:v>
                </c:pt>
                <c:pt idx="623">
                  <c:v>10614000.136923987</c:v>
                </c:pt>
                <c:pt idx="624">
                  <c:v>10632000.13328791</c:v>
                </c:pt>
                <c:pt idx="625">
                  <c:v>10650000.129748356</c:v>
                </c:pt>
                <c:pt idx="626">
                  <c:v>10668000.126302756</c:v>
                </c:pt>
                <c:pt idx="627">
                  <c:v>10686000.12294862</c:v>
                </c:pt>
                <c:pt idx="628">
                  <c:v>10704000.119683526</c:v>
                </c:pt>
                <c:pt idx="629">
                  <c:v>10722000.116505107</c:v>
                </c:pt>
                <c:pt idx="630">
                  <c:v>10740000.113411065</c:v>
                </c:pt>
                <c:pt idx="631">
                  <c:v>10758000.110399166</c:v>
                </c:pt>
                <c:pt idx="632">
                  <c:v>10776000.107467229</c:v>
                </c:pt>
                <c:pt idx="633">
                  <c:v>10794000.104613127</c:v>
                </c:pt>
                <c:pt idx="634">
                  <c:v>10812000.101834804</c:v>
                </c:pt>
                <c:pt idx="635">
                  <c:v>10830000.099130239</c:v>
                </c:pt>
                <c:pt idx="636">
                  <c:v>10848000.096497485</c:v>
                </c:pt>
                <c:pt idx="637">
                  <c:v>10866000.093934633</c:v>
                </c:pt>
                <c:pt idx="638">
                  <c:v>10884000.091439826</c:v>
                </c:pt>
                <c:pt idx="639">
                  <c:v>10902000.089011261</c:v>
                </c:pt>
                <c:pt idx="640">
                  <c:v>10920000.086647183</c:v>
                </c:pt>
                <c:pt idx="641">
                  <c:v>10938000.084345873</c:v>
                </c:pt>
                <c:pt idx="642">
                  <c:v>10956000.082105672</c:v>
                </c:pt>
                <c:pt idx="643">
                  <c:v>10974000.079924956</c:v>
                </c:pt>
                <c:pt idx="644">
                  <c:v>10992000.077802146</c:v>
                </c:pt>
                <c:pt idx="645">
                  <c:v>11010000.075735707</c:v>
                </c:pt>
                <c:pt idx="646">
                  <c:v>11028000.073724139</c:v>
                </c:pt>
                <c:pt idx="647">
                  <c:v>11046000.071765991</c:v>
                </c:pt>
                <c:pt idx="648">
                  <c:v>11064000.069859842</c:v>
                </c:pt>
                <c:pt idx="649">
                  <c:v>11082000.068004316</c:v>
                </c:pt>
                <c:pt idx="650">
                  <c:v>11100000.06619806</c:v>
                </c:pt>
                <c:pt idx="651">
                  <c:v>11118000.064439774</c:v>
                </c:pt>
                <c:pt idx="652">
                  <c:v>11136000.062728185</c:v>
                </c:pt>
                <c:pt idx="653">
                  <c:v>11154000.061062047</c:v>
                </c:pt>
                <c:pt idx="654">
                  <c:v>11172000.059440162</c:v>
                </c:pt>
                <c:pt idx="655">
                  <c:v>11190000.057861352</c:v>
                </c:pt>
                <c:pt idx="656">
                  <c:v>11208000.056324469</c:v>
                </c:pt>
                <c:pt idx="657">
                  <c:v>11226000.054828407</c:v>
                </c:pt>
                <c:pt idx="658">
                  <c:v>11244000.053372078</c:v>
                </c:pt>
                <c:pt idx="659">
                  <c:v>11262000.051954426</c:v>
                </c:pt>
                <c:pt idx="660">
                  <c:v>11280000.050574429</c:v>
                </c:pt>
                <c:pt idx="661">
                  <c:v>11298000.049231084</c:v>
                </c:pt>
                <c:pt idx="662">
                  <c:v>11316000.047923416</c:v>
                </c:pt>
                <c:pt idx="663">
                  <c:v>11334000.046650482</c:v>
                </c:pt>
                <c:pt idx="664">
                  <c:v>11352000.04541136</c:v>
                </c:pt>
                <c:pt idx="665">
                  <c:v>11370000.04420515</c:v>
                </c:pt>
                <c:pt idx="666">
                  <c:v>11388000.043030975</c:v>
                </c:pt>
                <c:pt idx="667">
                  <c:v>11406000.041887993</c:v>
                </c:pt>
                <c:pt idx="668">
                  <c:v>11424000.040775366</c:v>
                </c:pt>
                <c:pt idx="669">
                  <c:v>11442000.039692294</c:v>
                </c:pt>
                <c:pt idx="670">
                  <c:v>11460000.03863799</c:v>
                </c:pt>
                <c:pt idx="671">
                  <c:v>11478000.037611693</c:v>
                </c:pt>
                <c:pt idx="672">
                  <c:v>11496000.036612656</c:v>
                </c:pt>
                <c:pt idx="673">
                  <c:v>11514000.035640156</c:v>
                </c:pt>
                <c:pt idx="674">
                  <c:v>11532000.034693489</c:v>
                </c:pt>
                <c:pt idx="675">
                  <c:v>11550000.033771969</c:v>
                </c:pt>
                <c:pt idx="676">
                  <c:v>11568000.032874927</c:v>
                </c:pt>
                <c:pt idx="677">
                  <c:v>11586000.032001713</c:v>
                </c:pt>
                <c:pt idx="678">
                  <c:v>11604000.031151697</c:v>
                </c:pt>
                <c:pt idx="679">
                  <c:v>11622000.030324262</c:v>
                </c:pt>
                <c:pt idx="680">
                  <c:v>11640000.029518802</c:v>
                </c:pt>
                <c:pt idx="681">
                  <c:v>11658000.028734742</c:v>
                </c:pt>
                <c:pt idx="682">
                  <c:v>11676000.027971508</c:v>
                </c:pt>
                <c:pt idx="683">
                  <c:v>11694000.027228553</c:v>
                </c:pt>
                <c:pt idx="684">
                  <c:v>11712000.026505327</c:v>
                </c:pt>
                <c:pt idx="685">
                  <c:v>11730000.025801321</c:v>
                </c:pt>
                <c:pt idx="686">
                  <c:v>11748000.02511601</c:v>
                </c:pt>
                <c:pt idx="687">
                  <c:v>11766000.024448909</c:v>
                </c:pt>
                <c:pt idx="688">
                  <c:v>11784000.023799526</c:v>
                </c:pt>
                <c:pt idx="689">
                  <c:v>11802000.023167398</c:v>
                </c:pt>
                <c:pt idx="690">
                  <c:v>11820000.02255206</c:v>
                </c:pt>
                <c:pt idx="691">
                  <c:v>11838000.021953067</c:v>
                </c:pt>
                <c:pt idx="692">
                  <c:v>11856000.02136999</c:v>
                </c:pt>
                <c:pt idx="693">
                  <c:v>11874000.020802401</c:v>
                </c:pt>
                <c:pt idx="694">
                  <c:v>11892000.02024989</c:v>
                </c:pt>
                <c:pt idx="695">
                  <c:v>11910000.019712059</c:v>
                </c:pt>
                <c:pt idx="696">
                  <c:v>11928000.019188516</c:v>
                </c:pt>
                <c:pt idx="697">
                  <c:v>11946000.018678878</c:v>
                </c:pt>
                <c:pt idx="698">
                  <c:v>11964000.018182781</c:v>
                </c:pt>
                <c:pt idx="699">
                  <c:v>11982000.01769986</c:v>
                </c:pt>
                <c:pt idx="700">
                  <c:v>12000000.017229771</c:v>
                </c:pt>
                <c:pt idx="701">
                  <c:v>12018000.016772173</c:v>
                </c:pt>
                <c:pt idx="702">
                  <c:v>12036000.016326727</c:v>
                </c:pt>
                <c:pt idx="703">
                  <c:v>12054000.015893118</c:v>
                </c:pt>
                <c:pt idx="704">
                  <c:v>12072000.015471026</c:v>
                </c:pt>
                <c:pt idx="705">
                  <c:v>12090000.015060145</c:v>
                </c:pt>
                <c:pt idx="706">
                  <c:v>12108000.014660185</c:v>
                </c:pt>
                <c:pt idx="707">
                  <c:v>12126000.014270846</c:v>
                </c:pt>
                <c:pt idx="708">
                  <c:v>12144000.013891852</c:v>
                </c:pt>
                <c:pt idx="709">
                  <c:v>12162000.013522925</c:v>
                </c:pt>
                <c:pt idx="710">
                  <c:v>12180000.013163798</c:v>
                </c:pt>
                <c:pt idx="711">
                  <c:v>12198000.012814213</c:v>
                </c:pt>
                <c:pt idx="712">
                  <c:v>12216000.012473915</c:v>
                </c:pt>
                <c:pt idx="713">
                  <c:v>12234000.012142656</c:v>
                </c:pt>
                <c:pt idx="714">
                  <c:v>12252000.011820197</c:v>
                </c:pt>
                <c:pt idx="715">
                  <c:v>12270000.011506304</c:v>
                </c:pt>
                <c:pt idx="716">
                  <c:v>12288000.011200752</c:v>
                </c:pt>
                <c:pt idx="717">
                  <c:v>12306000.010903316</c:v>
                </c:pt>
                <c:pt idx="718">
                  <c:v>12324000.010613779</c:v>
                </c:pt>
                <c:pt idx="719">
                  <c:v>12342000.010331934</c:v>
                </c:pt>
                <c:pt idx="720">
                  <c:v>12360000.01005758</c:v>
                </c:pt>
                <c:pt idx="721">
                  <c:v>12378000.00979051</c:v>
                </c:pt>
                <c:pt idx="722">
                  <c:v>12396000.009530539</c:v>
                </c:pt>
                <c:pt idx="723">
                  <c:v>12414000.00927747</c:v>
                </c:pt>
                <c:pt idx="724">
                  <c:v>12432000.009031126</c:v>
                </c:pt>
                <c:pt idx="725">
                  <c:v>12450000.008791326</c:v>
                </c:pt>
                <c:pt idx="726">
                  <c:v>12468000.008557895</c:v>
                </c:pt>
                <c:pt idx="727">
                  <c:v>12486000.008330664</c:v>
                </c:pt>
                <c:pt idx="728">
                  <c:v>12504000.008109471</c:v>
                </c:pt>
                <c:pt idx="729">
                  <c:v>12522000.007894153</c:v>
                </c:pt>
                <c:pt idx="730">
                  <c:v>12540000.007684553</c:v>
                </c:pt>
                <c:pt idx="731">
                  <c:v>12558000.007480524</c:v>
                </c:pt>
                <c:pt idx="732">
                  <c:v>12576000.007281912</c:v>
                </c:pt>
                <c:pt idx="733">
                  <c:v>12594000.007088576</c:v>
                </c:pt>
                <c:pt idx="734">
                  <c:v>12612000.006900378</c:v>
                </c:pt>
                <c:pt idx="735">
                  <c:v>12630000.006717173</c:v>
                </c:pt>
                <c:pt idx="736">
                  <c:v>12648000.006538844</c:v>
                </c:pt>
                <c:pt idx="737">
                  <c:v>12666000.006365243</c:v>
                </c:pt>
                <c:pt idx="738">
                  <c:v>12684000.006196257</c:v>
                </c:pt>
                <c:pt idx="739">
                  <c:v>12702000.006031759</c:v>
                </c:pt>
                <c:pt idx="740">
                  <c:v>12720000.005871631</c:v>
                </c:pt>
                <c:pt idx="741">
                  <c:v>12738000.005715754</c:v>
                </c:pt>
                <c:pt idx="742">
                  <c:v>12756000.005564019</c:v>
                </c:pt>
                <c:pt idx="743">
                  <c:v>12774000.005416317</c:v>
                </c:pt>
                <c:pt idx="744">
                  <c:v>12792000.005272534</c:v>
                </c:pt>
                <c:pt idx="745">
                  <c:v>12810000.005132573</c:v>
                </c:pt>
                <c:pt idx="746">
                  <c:v>12828000.004996326</c:v>
                </c:pt>
                <c:pt idx="747">
                  <c:v>12846000.004863702</c:v>
                </c:pt>
                <c:pt idx="748">
                  <c:v>12864000.004734596</c:v>
                </c:pt>
                <c:pt idx="749">
                  <c:v>12882000.004608924</c:v>
                </c:pt>
                <c:pt idx="750">
                  <c:v>12900000.004486583</c:v>
                </c:pt>
                <c:pt idx="751">
                  <c:v>12918000.004367499</c:v>
                </c:pt>
                <c:pt idx="752">
                  <c:v>12936000.004251568</c:v>
                </c:pt>
                <c:pt idx="753">
                  <c:v>12954000.004138725</c:v>
                </c:pt>
                <c:pt idx="754">
                  <c:v>12972000.004028874</c:v>
                </c:pt>
                <c:pt idx="755">
                  <c:v>12990000.003921943</c:v>
                </c:pt>
                <c:pt idx="756">
                  <c:v>13008000.003817853</c:v>
                </c:pt>
                <c:pt idx="757">
                  <c:v>13026000.003716525</c:v>
                </c:pt>
                <c:pt idx="758">
                  <c:v>13044000.003617886</c:v>
                </c:pt>
                <c:pt idx="759">
                  <c:v>13062000.003521869</c:v>
                </c:pt>
                <c:pt idx="760">
                  <c:v>13080000.003428405</c:v>
                </c:pt>
                <c:pt idx="761">
                  <c:v>13098000.003337417</c:v>
                </c:pt>
                <c:pt idx="762">
                  <c:v>13116000.00324885</c:v>
                </c:pt>
                <c:pt idx="763">
                  <c:v>13134000.003162634</c:v>
                </c:pt>
                <c:pt idx="764">
                  <c:v>13152000.003078705</c:v>
                </c:pt>
                <c:pt idx="765">
                  <c:v>13170000.002997005</c:v>
                </c:pt>
                <c:pt idx="766">
                  <c:v>13188000.002917478</c:v>
                </c:pt>
                <c:pt idx="767">
                  <c:v>13206000.002840061</c:v>
                </c:pt>
                <c:pt idx="768">
                  <c:v>13224000.002764698</c:v>
                </c:pt>
                <c:pt idx="769">
                  <c:v>13242000.002691338</c:v>
                </c:pt>
                <c:pt idx="770">
                  <c:v>13260000.002619926</c:v>
                </c:pt>
                <c:pt idx="771">
                  <c:v>13278000.002550408</c:v>
                </c:pt>
                <c:pt idx="772">
                  <c:v>13296000.00248274</c:v>
                </c:pt>
                <c:pt idx="773">
                  <c:v>13314000.002416864</c:v>
                </c:pt>
                <c:pt idx="774">
                  <c:v>13332000.002352741</c:v>
                </c:pt>
                <c:pt idx="775">
                  <c:v>13350000.002290322</c:v>
                </c:pt>
                <c:pt idx="776">
                  <c:v>13368000.002229553</c:v>
                </c:pt>
                <c:pt idx="777">
                  <c:v>13386000.002170403</c:v>
                </c:pt>
                <c:pt idx="778">
                  <c:v>13404000.002112824</c:v>
                </c:pt>
                <c:pt idx="779">
                  <c:v>13422000.002056764</c:v>
                </c:pt>
                <c:pt idx="780">
                  <c:v>13440000.002002206</c:v>
                </c:pt>
                <c:pt idx="781">
                  <c:v>13458000.001949089</c:v>
                </c:pt>
                <c:pt idx="782">
                  <c:v>13476000.001897383</c:v>
                </c:pt>
                <c:pt idx="783">
                  <c:v>13494000.001847049</c:v>
                </c:pt>
                <c:pt idx="784">
                  <c:v>13512000.001798058</c:v>
                </c:pt>
                <c:pt idx="785">
                  <c:v>13530000.001750359</c:v>
                </c:pt>
                <c:pt idx="786">
                  <c:v>13548000.001703931</c:v>
                </c:pt>
                <c:pt idx="787">
                  <c:v>13566000.001658734</c:v>
                </c:pt>
                <c:pt idx="788">
                  <c:v>13584000.001614735</c:v>
                </c:pt>
                <c:pt idx="789">
                  <c:v>13602000.001571909</c:v>
                </c:pt>
                <c:pt idx="790">
                  <c:v>13620000.001530215</c:v>
                </c:pt>
                <c:pt idx="791">
                  <c:v>13638000.00148963</c:v>
                </c:pt>
                <c:pt idx="792">
                  <c:v>13656000.001450121</c:v>
                </c:pt>
                <c:pt idx="793">
                  <c:v>13674000.001411662</c:v>
                </c:pt>
                <c:pt idx="794">
                  <c:v>13692000.00137422</c:v>
                </c:pt>
                <c:pt idx="795">
                  <c:v>13710000.001337776</c:v>
                </c:pt>
                <c:pt idx="796">
                  <c:v>13728000.001302304</c:v>
                </c:pt>
                <c:pt idx="797">
                  <c:v>13746000.001267763</c:v>
                </c:pt>
                <c:pt idx="798">
                  <c:v>13764000.001234146</c:v>
                </c:pt>
                <c:pt idx="799">
                  <c:v>13782000.001201417</c:v>
                </c:pt>
                <c:pt idx="800">
                  <c:v>13800000.001169559</c:v>
                </c:pt>
                <c:pt idx="801">
                  <c:v>13818000.001138547</c:v>
                </c:pt>
                <c:pt idx="802">
                  <c:v>13836000.001108358</c:v>
                </c:pt>
                <c:pt idx="803">
                  <c:v>13854000.001078969</c:v>
                </c:pt>
                <c:pt idx="804">
                  <c:v>13872000.001050361</c:v>
                </c:pt>
                <c:pt idx="805">
                  <c:v>13890000.00102251</c:v>
                </c:pt>
                <c:pt idx="806">
                  <c:v>13908000.000995398</c:v>
                </c:pt>
                <c:pt idx="807">
                  <c:v>13926000.000969008</c:v>
                </c:pt>
                <c:pt idx="808">
                  <c:v>13944000.00094332</c:v>
                </c:pt>
                <c:pt idx="809">
                  <c:v>13962000.000918308</c:v>
                </c:pt>
                <c:pt idx="810">
                  <c:v>13980000.000893962</c:v>
                </c:pt>
                <c:pt idx="811">
                  <c:v>13998000.000870265</c:v>
                </c:pt>
                <c:pt idx="812">
                  <c:v>14016000.000847192</c:v>
                </c:pt>
                <c:pt idx="813">
                  <c:v>14034000.000824733</c:v>
                </c:pt>
                <c:pt idx="814">
                  <c:v>14052000.000802871</c:v>
                </c:pt>
                <c:pt idx="815">
                  <c:v>14070000.000781592</c:v>
                </c:pt>
                <c:pt idx="816">
                  <c:v>14088000.00076087</c:v>
                </c:pt>
                <c:pt idx="817">
                  <c:v>14106000.000740703</c:v>
                </c:pt>
                <c:pt idx="818">
                  <c:v>14124000.000721069</c:v>
                </c:pt>
                <c:pt idx="819">
                  <c:v>14142000.000701956</c:v>
                </c:pt>
                <c:pt idx="820">
                  <c:v>14160000.000683356</c:v>
                </c:pt>
                <c:pt idx="821">
                  <c:v>14178000.000665246</c:v>
                </c:pt>
                <c:pt idx="822">
                  <c:v>14196000.000647612</c:v>
                </c:pt>
                <c:pt idx="823">
                  <c:v>14214000.000630448</c:v>
                </c:pt>
                <c:pt idx="824">
                  <c:v>14232000.000613742</c:v>
                </c:pt>
                <c:pt idx="825">
                  <c:v>14250000.000597475</c:v>
                </c:pt>
                <c:pt idx="826">
                  <c:v>14268000.000581641</c:v>
                </c:pt>
                <c:pt idx="827">
                  <c:v>14286000.000566229</c:v>
                </c:pt>
                <c:pt idx="828">
                  <c:v>14304000.000551226</c:v>
                </c:pt>
                <c:pt idx="829">
                  <c:v>14322000.000536621</c:v>
                </c:pt>
                <c:pt idx="830">
                  <c:v>14340000.000522399</c:v>
                </c:pt>
                <c:pt idx="831">
                  <c:v>14358000.000508556</c:v>
                </c:pt>
                <c:pt idx="832">
                  <c:v>14376000.000495082</c:v>
                </c:pt>
                <c:pt idx="833">
                  <c:v>14394000.000481967</c:v>
                </c:pt>
                <c:pt idx="834">
                  <c:v>14412000.000469195</c:v>
                </c:pt>
                <c:pt idx="835">
                  <c:v>14430000.000456763</c:v>
                </c:pt>
                <c:pt idx="836">
                  <c:v>14448000.000444666</c:v>
                </c:pt>
                <c:pt idx="837">
                  <c:v>14466000.000432882</c:v>
                </c:pt>
                <c:pt idx="838">
                  <c:v>14484000.000421416</c:v>
                </c:pt>
                <c:pt idx="839">
                  <c:v>14502000.000410255</c:v>
                </c:pt>
                <c:pt idx="840">
                  <c:v>14520000.000399383</c:v>
                </c:pt>
                <c:pt idx="841">
                  <c:v>14538000.000388805</c:v>
                </c:pt>
                <c:pt idx="842">
                  <c:v>14556000.000378506</c:v>
                </c:pt>
                <c:pt idx="843">
                  <c:v>14574000.00036848</c:v>
                </c:pt>
                <c:pt idx="844">
                  <c:v>14592000.000358721</c:v>
                </c:pt>
                <c:pt idx="845">
                  <c:v>14610000.000349218</c:v>
                </c:pt>
                <c:pt idx="846">
                  <c:v>14628000.00033997</c:v>
                </c:pt>
                <c:pt idx="847">
                  <c:v>14646000.000330964</c:v>
                </c:pt>
                <c:pt idx="848">
                  <c:v>14664000.000322202</c:v>
                </c:pt>
                <c:pt idx="849">
                  <c:v>14682000.000313666</c:v>
                </c:pt>
                <c:pt idx="850">
                  <c:v>14700000.00030536</c:v>
                </c:pt>
                <c:pt idx="851">
                  <c:v>14718000.000297278</c:v>
                </c:pt>
                <c:pt idx="852">
                  <c:v>14736000.000289401</c:v>
                </c:pt>
                <c:pt idx="853">
                  <c:v>14754000.00028174</c:v>
                </c:pt>
                <c:pt idx="854">
                  <c:v>14772000.00027428</c:v>
                </c:pt>
                <c:pt idx="855">
                  <c:v>14790000.000267014</c:v>
                </c:pt>
                <c:pt idx="856">
                  <c:v>14808000.000259947</c:v>
                </c:pt>
                <c:pt idx="857">
                  <c:v>14826000.000253065</c:v>
                </c:pt>
                <c:pt idx="858">
                  <c:v>14844000.000246363</c:v>
                </c:pt>
                <c:pt idx="859">
                  <c:v>14862000.00023984</c:v>
                </c:pt>
                <c:pt idx="860">
                  <c:v>14880000.000233492</c:v>
                </c:pt>
                <c:pt idx="861">
                  <c:v>14898000.000227306</c:v>
                </c:pt>
                <c:pt idx="862">
                  <c:v>14916000.000221293</c:v>
                </c:pt>
                <c:pt idx="863">
                  <c:v>14934000.000215435</c:v>
                </c:pt>
                <c:pt idx="864">
                  <c:v>14952000.000209728</c:v>
                </c:pt>
                <c:pt idx="865">
                  <c:v>14970000.000204178</c:v>
                </c:pt>
                <c:pt idx="866">
                  <c:v>14988000.000198774</c:v>
                </c:pt>
                <c:pt idx="867">
                  <c:v>15006000.000193512</c:v>
                </c:pt>
                <c:pt idx="868">
                  <c:v>15024000.000188388</c:v>
                </c:pt>
                <c:pt idx="869">
                  <c:v>15042000.000183407</c:v>
                </c:pt>
                <c:pt idx="870">
                  <c:v>15060000.000178549</c:v>
                </c:pt>
                <c:pt idx="871">
                  <c:v>15078000.000173826</c:v>
                </c:pt>
                <c:pt idx="872">
                  <c:v>15096000.000169225</c:v>
                </c:pt>
                <c:pt idx="873">
                  <c:v>15114000.000164744</c:v>
                </c:pt>
                <c:pt idx="874">
                  <c:v>15132000.000160385</c:v>
                </c:pt>
                <c:pt idx="875">
                  <c:v>15150000.000156144</c:v>
                </c:pt>
                <c:pt idx="876">
                  <c:v>15168000.00015201</c:v>
                </c:pt>
                <c:pt idx="877">
                  <c:v>15186000.000147991</c:v>
                </c:pt>
                <c:pt idx="878">
                  <c:v>15204000.000144074</c:v>
                </c:pt>
                <c:pt idx="879">
                  <c:v>15222000.000140261</c:v>
                </c:pt>
                <c:pt idx="880">
                  <c:v>15240000.000136552</c:v>
                </c:pt>
                <c:pt idx="881">
                  <c:v>15258000.000132937</c:v>
                </c:pt>
                <c:pt idx="882">
                  <c:v>15276000.000129418</c:v>
                </c:pt>
                <c:pt idx="883">
                  <c:v>15294000.000125995</c:v>
                </c:pt>
                <c:pt idx="884">
                  <c:v>15312000.000122664</c:v>
                </c:pt>
                <c:pt idx="885">
                  <c:v>15330000.000119416</c:v>
                </c:pt>
                <c:pt idx="886">
                  <c:v>15348000.000116259</c:v>
                </c:pt>
                <c:pt idx="887">
                  <c:v>15366000.000113187</c:v>
                </c:pt>
                <c:pt idx="888">
                  <c:v>15384000.000110188</c:v>
                </c:pt>
                <c:pt idx="889">
                  <c:v>15402000.000107275</c:v>
                </c:pt>
                <c:pt idx="890">
                  <c:v>15420000.000104439</c:v>
                </c:pt>
                <c:pt idx="891">
                  <c:v>15438000.000101678</c:v>
                </c:pt>
                <c:pt idx="892">
                  <c:v>15456000.000098988</c:v>
                </c:pt>
                <c:pt idx="893">
                  <c:v>15474000.000096371</c:v>
                </c:pt>
                <c:pt idx="894">
                  <c:v>15492000.00009382</c:v>
                </c:pt>
                <c:pt idx="895">
                  <c:v>15510000.000091342</c:v>
                </c:pt>
                <c:pt idx="896">
                  <c:v>15528000.000088925</c:v>
                </c:pt>
                <c:pt idx="897">
                  <c:v>15546000.000086572</c:v>
                </c:pt>
                <c:pt idx="898">
                  <c:v>15564000.000084283</c:v>
                </c:pt>
                <c:pt idx="899">
                  <c:v>15582000.000082053</c:v>
                </c:pt>
                <c:pt idx="900">
                  <c:v>15600000.000079885</c:v>
                </c:pt>
                <c:pt idx="901">
                  <c:v>15618000.000077773</c:v>
                </c:pt>
                <c:pt idx="902">
                  <c:v>15636000.000075717</c:v>
                </c:pt>
                <c:pt idx="903">
                  <c:v>15654000.000073716</c:v>
                </c:pt>
                <c:pt idx="904">
                  <c:v>15672000.000071768</c:v>
                </c:pt>
                <c:pt idx="905">
                  <c:v>15690000.000069872</c:v>
                </c:pt>
                <c:pt idx="906">
                  <c:v>15708000.000068022</c:v>
                </c:pt>
                <c:pt idx="907">
                  <c:v>15726000.000066224</c:v>
                </c:pt>
                <c:pt idx="908">
                  <c:v>15744000.000064477</c:v>
                </c:pt>
                <c:pt idx="909">
                  <c:v>15762000.000062767</c:v>
                </c:pt>
                <c:pt idx="910">
                  <c:v>15780000.00006111</c:v>
                </c:pt>
                <c:pt idx="911">
                  <c:v>15798000.000059498</c:v>
                </c:pt>
                <c:pt idx="912">
                  <c:v>15816000.000057921</c:v>
                </c:pt>
                <c:pt idx="913">
                  <c:v>15834000.000056395</c:v>
                </c:pt>
                <c:pt idx="914">
                  <c:v>15852000.000054901</c:v>
                </c:pt>
                <c:pt idx="915">
                  <c:v>15870000.00005345</c:v>
                </c:pt>
                <c:pt idx="916">
                  <c:v>15888000.00005204</c:v>
                </c:pt>
                <c:pt idx="917">
                  <c:v>15906000.000050666</c:v>
                </c:pt>
                <c:pt idx="918">
                  <c:v>15924000.000049325</c:v>
                </c:pt>
                <c:pt idx="919">
                  <c:v>15942000.000048023</c:v>
                </c:pt>
                <c:pt idx="920">
                  <c:v>15960000.000046756</c:v>
                </c:pt>
                <c:pt idx="921">
                  <c:v>15978000.000045516</c:v>
                </c:pt>
                <c:pt idx="922">
                  <c:v>15996000.000044314</c:v>
                </c:pt>
                <c:pt idx="923">
                  <c:v>16014000.000043146</c:v>
                </c:pt>
                <c:pt idx="924">
                  <c:v>16032000.000042006</c:v>
                </c:pt>
                <c:pt idx="925">
                  <c:v>16050000.000040896</c:v>
                </c:pt>
                <c:pt idx="926">
                  <c:v>16068000.000039816</c:v>
                </c:pt>
                <c:pt idx="927">
                  <c:v>16086000.000038764</c:v>
                </c:pt>
                <c:pt idx="928">
                  <c:v>16104000.000037739</c:v>
                </c:pt>
                <c:pt idx="929">
                  <c:v>16122000.000036746</c:v>
                </c:pt>
                <c:pt idx="930">
                  <c:v>16140000.00003577</c:v>
                </c:pt>
                <c:pt idx="931">
                  <c:v>16158000.000034828</c:v>
                </c:pt>
                <c:pt idx="932">
                  <c:v>16176000.000033909</c:v>
                </c:pt>
                <c:pt idx="933">
                  <c:v>16194000.00003301</c:v>
                </c:pt>
                <c:pt idx="934">
                  <c:v>16212000.000032142</c:v>
                </c:pt>
                <c:pt idx="935">
                  <c:v>16230000.000031292</c:v>
                </c:pt>
                <c:pt idx="936">
                  <c:v>16248000.000030462</c:v>
                </c:pt>
                <c:pt idx="937">
                  <c:v>16266000.000029661</c:v>
                </c:pt>
                <c:pt idx="938">
                  <c:v>16284000.000028875</c:v>
                </c:pt>
                <c:pt idx="939">
                  <c:v>16302000.000028115</c:v>
                </c:pt>
                <c:pt idx="940">
                  <c:v>16320000.000027373</c:v>
                </c:pt>
                <c:pt idx="941">
                  <c:v>16338000.000026651</c:v>
                </c:pt>
                <c:pt idx="942">
                  <c:v>16356000.000025947</c:v>
                </c:pt>
                <c:pt idx="943">
                  <c:v>16374000.000025257</c:v>
                </c:pt>
                <c:pt idx="944">
                  <c:v>16392000.000024594</c:v>
                </c:pt>
                <c:pt idx="945">
                  <c:v>16410000.000023942</c:v>
                </c:pt>
                <c:pt idx="946">
                  <c:v>16428000.000023309</c:v>
                </c:pt>
                <c:pt idx="947">
                  <c:v>16446000.000022694</c:v>
                </c:pt>
                <c:pt idx="948">
                  <c:v>16464000.000022098</c:v>
                </c:pt>
                <c:pt idx="949">
                  <c:v>16482000.000021514</c:v>
                </c:pt>
                <c:pt idx="950">
                  <c:v>16500000.000020947</c:v>
                </c:pt>
                <c:pt idx="951">
                  <c:v>16518000.000020396</c:v>
                </c:pt>
                <c:pt idx="952">
                  <c:v>16536000.000019856</c:v>
                </c:pt>
                <c:pt idx="953">
                  <c:v>16554000.000019331</c:v>
                </c:pt>
                <c:pt idx="954">
                  <c:v>16572000.000018824</c:v>
                </c:pt>
                <c:pt idx="955">
                  <c:v>16590000.000018321</c:v>
                </c:pt>
                <c:pt idx="956">
                  <c:v>16608000.000017844</c:v>
                </c:pt>
                <c:pt idx="957">
                  <c:v>16626000.000017367</c:v>
                </c:pt>
                <c:pt idx="958">
                  <c:v>16644000.000016909</c:v>
                </c:pt>
                <c:pt idx="959">
                  <c:v>16662000.000016466</c:v>
                </c:pt>
                <c:pt idx="960">
                  <c:v>16680000.000016034</c:v>
                </c:pt>
                <c:pt idx="961">
                  <c:v>16698000.000015609</c:v>
                </c:pt>
                <c:pt idx="962">
                  <c:v>16716000.000015195</c:v>
                </c:pt>
                <c:pt idx="963">
                  <c:v>16734000.000014801</c:v>
                </c:pt>
                <c:pt idx="964">
                  <c:v>16752000.000014402</c:v>
                </c:pt>
                <c:pt idx="965">
                  <c:v>16770000.000014026</c:v>
                </c:pt>
                <c:pt idx="966">
                  <c:v>16788000.000013657</c:v>
                </c:pt>
                <c:pt idx="967">
                  <c:v>16806000.000013296</c:v>
                </c:pt>
                <c:pt idx="968">
                  <c:v>16824000.000012945</c:v>
                </c:pt>
                <c:pt idx="969">
                  <c:v>16842000.000012603</c:v>
                </c:pt>
                <c:pt idx="970">
                  <c:v>16860000.000012271</c:v>
                </c:pt>
                <c:pt idx="971">
                  <c:v>16878000.000011947</c:v>
                </c:pt>
                <c:pt idx="972">
                  <c:v>16896000.000011634</c:v>
                </c:pt>
                <c:pt idx="973">
                  <c:v>16914000.000011325</c:v>
                </c:pt>
                <c:pt idx="974">
                  <c:v>16932000.000011027</c:v>
                </c:pt>
                <c:pt idx="975">
                  <c:v>16950000.000010736</c:v>
                </c:pt>
                <c:pt idx="976">
                  <c:v>16968000.000010453</c:v>
                </c:pt>
                <c:pt idx="977">
                  <c:v>16986000.000010177</c:v>
                </c:pt>
                <c:pt idx="978">
                  <c:v>17004000.000009909</c:v>
                </c:pt>
                <c:pt idx="979">
                  <c:v>17022000.000009649</c:v>
                </c:pt>
                <c:pt idx="980">
                  <c:v>17040000.000009395</c:v>
                </c:pt>
                <c:pt idx="981">
                  <c:v>17058000.000009149</c:v>
                </c:pt>
                <c:pt idx="982">
                  <c:v>17076000.000008907</c:v>
                </c:pt>
                <c:pt idx="983">
                  <c:v>17094000.000008672</c:v>
                </c:pt>
                <c:pt idx="984">
                  <c:v>17112000.000008442</c:v>
                </c:pt>
                <c:pt idx="985">
                  <c:v>17130000.000008218</c:v>
                </c:pt>
                <c:pt idx="986">
                  <c:v>17148000.000008002</c:v>
                </c:pt>
                <c:pt idx="987">
                  <c:v>17166000.000007793</c:v>
                </c:pt>
                <c:pt idx="988">
                  <c:v>17184000.000007585</c:v>
                </c:pt>
                <c:pt idx="989">
                  <c:v>17202000.000007384</c:v>
                </c:pt>
                <c:pt idx="990">
                  <c:v>17220000.000007194</c:v>
                </c:pt>
                <c:pt idx="991">
                  <c:v>17238000.000007</c:v>
                </c:pt>
                <c:pt idx="992">
                  <c:v>17256000.000006817</c:v>
                </c:pt>
                <c:pt idx="993">
                  <c:v>17274000.000006638</c:v>
                </c:pt>
                <c:pt idx="994">
                  <c:v>17292000.000006463</c:v>
                </c:pt>
                <c:pt idx="995">
                  <c:v>17310000.000006296</c:v>
                </c:pt>
                <c:pt idx="996">
                  <c:v>17328000.000006128</c:v>
                </c:pt>
                <c:pt idx="997">
                  <c:v>17346000.000005964</c:v>
                </c:pt>
                <c:pt idx="998">
                  <c:v>17364000.000005811</c:v>
                </c:pt>
                <c:pt idx="999">
                  <c:v>17382000.000005659</c:v>
                </c:pt>
                <c:pt idx="1000">
                  <c:v>17400000.000005506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C7-47F8-8E4D-DC333C37C895}"/>
            </c:ext>
          </c:extLst>
        </c:ser>
        <c:ser>
          <c:idx val="1"/>
          <c:order val="1"/>
          <c:tx>
            <c:v>malejąca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val>
            <c:numRef>
              <c:f>'Lab4'!$J$6:$J$1006</c:f>
              <c:numCache>
                <c:formatCode>_-* #,##0.00\ [$zł-415]_-;\-* #,##0.00\ [$zł-415]_-;_-* "-"??\ [$zł-415]_-;_-@_-</c:formatCode>
                <c:ptCount val="1001"/>
                <c:pt idx="0">
                  <c:v>0</c:v>
                </c:pt>
                <c:pt idx="1">
                  <c:v>9025</c:v>
                </c:pt>
                <c:pt idx="2">
                  <c:v>18050</c:v>
                </c:pt>
                <c:pt idx="3">
                  <c:v>27075</c:v>
                </c:pt>
                <c:pt idx="4">
                  <c:v>36100</c:v>
                </c:pt>
                <c:pt idx="5">
                  <c:v>45125</c:v>
                </c:pt>
                <c:pt idx="6">
                  <c:v>54150</c:v>
                </c:pt>
                <c:pt idx="7">
                  <c:v>63175</c:v>
                </c:pt>
                <c:pt idx="8">
                  <c:v>72200</c:v>
                </c:pt>
                <c:pt idx="9">
                  <c:v>81225</c:v>
                </c:pt>
                <c:pt idx="10">
                  <c:v>90250</c:v>
                </c:pt>
                <c:pt idx="11">
                  <c:v>99275</c:v>
                </c:pt>
                <c:pt idx="12">
                  <c:v>108300</c:v>
                </c:pt>
                <c:pt idx="13">
                  <c:v>117325</c:v>
                </c:pt>
                <c:pt idx="14">
                  <c:v>126350</c:v>
                </c:pt>
                <c:pt idx="15">
                  <c:v>135375</c:v>
                </c:pt>
                <c:pt idx="16">
                  <c:v>144400</c:v>
                </c:pt>
                <c:pt idx="17">
                  <c:v>153425</c:v>
                </c:pt>
                <c:pt idx="18">
                  <c:v>162450</c:v>
                </c:pt>
                <c:pt idx="19">
                  <c:v>171475</c:v>
                </c:pt>
                <c:pt idx="20">
                  <c:v>180500</c:v>
                </c:pt>
                <c:pt idx="21">
                  <c:v>189525</c:v>
                </c:pt>
                <c:pt idx="22">
                  <c:v>198550</c:v>
                </c:pt>
                <c:pt idx="23">
                  <c:v>207575</c:v>
                </c:pt>
                <c:pt idx="24">
                  <c:v>216600</c:v>
                </c:pt>
                <c:pt idx="25">
                  <c:v>225625</c:v>
                </c:pt>
                <c:pt idx="26">
                  <c:v>234650</c:v>
                </c:pt>
                <c:pt idx="27">
                  <c:v>243675</c:v>
                </c:pt>
                <c:pt idx="28">
                  <c:v>252700</c:v>
                </c:pt>
                <c:pt idx="29">
                  <c:v>261725</c:v>
                </c:pt>
                <c:pt idx="30">
                  <c:v>270750</c:v>
                </c:pt>
                <c:pt idx="31">
                  <c:v>279775</c:v>
                </c:pt>
                <c:pt idx="32">
                  <c:v>288800</c:v>
                </c:pt>
                <c:pt idx="33">
                  <c:v>297825</c:v>
                </c:pt>
                <c:pt idx="34">
                  <c:v>306850</c:v>
                </c:pt>
                <c:pt idx="35">
                  <c:v>315875.00000000006</c:v>
                </c:pt>
                <c:pt idx="36">
                  <c:v>324900</c:v>
                </c:pt>
                <c:pt idx="37">
                  <c:v>333925</c:v>
                </c:pt>
                <c:pt idx="38">
                  <c:v>342950</c:v>
                </c:pt>
                <c:pt idx="39">
                  <c:v>351975</c:v>
                </c:pt>
                <c:pt idx="40">
                  <c:v>361000</c:v>
                </c:pt>
                <c:pt idx="41">
                  <c:v>370025</c:v>
                </c:pt>
                <c:pt idx="42">
                  <c:v>379050</c:v>
                </c:pt>
                <c:pt idx="43">
                  <c:v>388074.99999999994</c:v>
                </c:pt>
                <c:pt idx="44">
                  <c:v>397100</c:v>
                </c:pt>
                <c:pt idx="45">
                  <c:v>406125</c:v>
                </c:pt>
                <c:pt idx="46">
                  <c:v>415150</c:v>
                </c:pt>
                <c:pt idx="47">
                  <c:v>424175</c:v>
                </c:pt>
                <c:pt idx="48">
                  <c:v>433200</c:v>
                </c:pt>
                <c:pt idx="49">
                  <c:v>442225</c:v>
                </c:pt>
                <c:pt idx="50">
                  <c:v>451250</c:v>
                </c:pt>
                <c:pt idx="51">
                  <c:v>460274.99999999994</c:v>
                </c:pt>
                <c:pt idx="52">
                  <c:v>469300</c:v>
                </c:pt>
                <c:pt idx="53">
                  <c:v>478325</c:v>
                </c:pt>
                <c:pt idx="54">
                  <c:v>487350</c:v>
                </c:pt>
                <c:pt idx="55">
                  <c:v>496375</c:v>
                </c:pt>
                <c:pt idx="56">
                  <c:v>505400</c:v>
                </c:pt>
                <c:pt idx="57">
                  <c:v>514425</c:v>
                </c:pt>
                <c:pt idx="58">
                  <c:v>523450</c:v>
                </c:pt>
                <c:pt idx="59">
                  <c:v>532475</c:v>
                </c:pt>
                <c:pt idx="60">
                  <c:v>541500</c:v>
                </c:pt>
                <c:pt idx="61">
                  <c:v>550525</c:v>
                </c:pt>
                <c:pt idx="62">
                  <c:v>559550</c:v>
                </c:pt>
                <c:pt idx="63">
                  <c:v>568575</c:v>
                </c:pt>
                <c:pt idx="64">
                  <c:v>577600</c:v>
                </c:pt>
                <c:pt idx="65">
                  <c:v>586625</c:v>
                </c:pt>
                <c:pt idx="66">
                  <c:v>595650</c:v>
                </c:pt>
                <c:pt idx="67">
                  <c:v>604675</c:v>
                </c:pt>
                <c:pt idx="68">
                  <c:v>613700</c:v>
                </c:pt>
                <c:pt idx="69">
                  <c:v>622725</c:v>
                </c:pt>
                <c:pt idx="70">
                  <c:v>631750.00000000012</c:v>
                </c:pt>
                <c:pt idx="71">
                  <c:v>640774.99999999988</c:v>
                </c:pt>
                <c:pt idx="72">
                  <c:v>649800</c:v>
                </c:pt>
                <c:pt idx="73">
                  <c:v>658825</c:v>
                </c:pt>
                <c:pt idx="74">
                  <c:v>667850</c:v>
                </c:pt>
                <c:pt idx="75">
                  <c:v>676875</c:v>
                </c:pt>
                <c:pt idx="76">
                  <c:v>685900</c:v>
                </c:pt>
                <c:pt idx="77">
                  <c:v>694925</c:v>
                </c:pt>
                <c:pt idx="78">
                  <c:v>703950</c:v>
                </c:pt>
                <c:pt idx="79">
                  <c:v>712975</c:v>
                </c:pt>
                <c:pt idx="80">
                  <c:v>722000</c:v>
                </c:pt>
                <c:pt idx="81">
                  <c:v>731025</c:v>
                </c:pt>
                <c:pt idx="82">
                  <c:v>740050</c:v>
                </c:pt>
                <c:pt idx="83">
                  <c:v>749075</c:v>
                </c:pt>
                <c:pt idx="84">
                  <c:v>758100</c:v>
                </c:pt>
                <c:pt idx="85">
                  <c:v>767125.00000000012</c:v>
                </c:pt>
                <c:pt idx="86">
                  <c:v>776149.99999999988</c:v>
                </c:pt>
                <c:pt idx="87">
                  <c:v>785175</c:v>
                </c:pt>
                <c:pt idx="88">
                  <c:v>794200</c:v>
                </c:pt>
                <c:pt idx="89">
                  <c:v>803225</c:v>
                </c:pt>
                <c:pt idx="90">
                  <c:v>812250</c:v>
                </c:pt>
                <c:pt idx="91">
                  <c:v>821275</c:v>
                </c:pt>
                <c:pt idx="92">
                  <c:v>830300</c:v>
                </c:pt>
                <c:pt idx="93">
                  <c:v>839325</c:v>
                </c:pt>
                <c:pt idx="94">
                  <c:v>848350</c:v>
                </c:pt>
                <c:pt idx="95">
                  <c:v>857375</c:v>
                </c:pt>
                <c:pt idx="96">
                  <c:v>866400</c:v>
                </c:pt>
                <c:pt idx="97">
                  <c:v>875425</c:v>
                </c:pt>
                <c:pt idx="98">
                  <c:v>884450</c:v>
                </c:pt>
                <c:pt idx="99">
                  <c:v>893475</c:v>
                </c:pt>
                <c:pt idx="100">
                  <c:v>902500</c:v>
                </c:pt>
                <c:pt idx="101">
                  <c:v>911525.00000000012</c:v>
                </c:pt>
                <c:pt idx="102">
                  <c:v>920549.99999999988</c:v>
                </c:pt>
                <c:pt idx="103">
                  <c:v>929575</c:v>
                </c:pt>
                <c:pt idx="104">
                  <c:v>938600</c:v>
                </c:pt>
                <c:pt idx="105">
                  <c:v>947625</c:v>
                </c:pt>
                <c:pt idx="106">
                  <c:v>956650</c:v>
                </c:pt>
                <c:pt idx="107">
                  <c:v>965675</c:v>
                </c:pt>
                <c:pt idx="108">
                  <c:v>974700</c:v>
                </c:pt>
                <c:pt idx="109">
                  <c:v>983725</c:v>
                </c:pt>
                <c:pt idx="110">
                  <c:v>992750</c:v>
                </c:pt>
                <c:pt idx="111">
                  <c:v>1001775</c:v>
                </c:pt>
                <c:pt idx="112">
                  <c:v>1010800</c:v>
                </c:pt>
                <c:pt idx="113">
                  <c:v>1019825</c:v>
                </c:pt>
                <c:pt idx="114">
                  <c:v>1028850</c:v>
                </c:pt>
                <c:pt idx="115">
                  <c:v>1037875</c:v>
                </c:pt>
                <c:pt idx="116">
                  <c:v>1046900</c:v>
                </c:pt>
                <c:pt idx="117">
                  <c:v>1055925</c:v>
                </c:pt>
                <c:pt idx="118">
                  <c:v>1064950</c:v>
                </c:pt>
                <c:pt idx="119">
                  <c:v>1073975</c:v>
                </c:pt>
                <c:pt idx="120">
                  <c:v>1083000</c:v>
                </c:pt>
                <c:pt idx="121">
                  <c:v>1092025</c:v>
                </c:pt>
                <c:pt idx="122">
                  <c:v>1101050</c:v>
                </c:pt>
                <c:pt idx="123">
                  <c:v>1110075</c:v>
                </c:pt>
                <c:pt idx="124">
                  <c:v>1119100</c:v>
                </c:pt>
                <c:pt idx="125">
                  <c:v>1128125</c:v>
                </c:pt>
                <c:pt idx="126">
                  <c:v>1137150</c:v>
                </c:pt>
                <c:pt idx="127">
                  <c:v>1146175</c:v>
                </c:pt>
                <c:pt idx="128">
                  <c:v>1155200</c:v>
                </c:pt>
                <c:pt idx="129">
                  <c:v>1164225</c:v>
                </c:pt>
                <c:pt idx="130">
                  <c:v>1173250</c:v>
                </c:pt>
                <c:pt idx="131">
                  <c:v>1182275</c:v>
                </c:pt>
                <c:pt idx="132">
                  <c:v>1191300</c:v>
                </c:pt>
                <c:pt idx="133">
                  <c:v>1200325</c:v>
                </c:pt>
                <c:pt idx="134">
                  <c:v>1209350</c:v>
                </c:pt>
                <c:pt idx="135">
                  <c:v>1218375</c:v>
                </c:pt>
                <c:pt idx="136">
                  <c:v>1227400</c:v>
                </c:pt>
                <c:pt idx="137">
                  <c:v>1236425</c:v>
                </c:pt>
                <c:pt idx="138">
                  <c:v>1245450</c:v>
                </c:pt>
                <c:pt idx="139">
                  <c:v>1254475.0000000002</c:v>
                </c:pt>
                <c:pt idx="140">
                  <c:v>1263500.0000000002</c:v>
                </c:pt>
                <c:pt idx="141">
                  <c:v>1272524.9999999998</c:v>
                </c:pt>
                <c:pt idx="142">
                  <c:v>1281549.9999999998</c:v>
                </c:pt>
                <c:pt idx="143">
                  <c:v>1290575</c:v>
                </c:pt>
                <c:pt idx="144">
                  <c:v>1299600</c:v>
                </c:pt>
                <c:pt idx="145">
                  <c:v>1308625</c:v>
                </c:pt>
                <c:pt idx="146">
                  <c:v>1317650</c:v>
                </c:pt>
                <c:pt idx="147">
                  <c:v>1326675</c:v>
                </c:pt>
                <c:pt idx="148">
                  <c:v>1335700</c:v>
                </c:pt>
                <c:pt idx="149">
                  <c:v>1344725</c:v>
                </c:pt>
                <c:pt idx="150">
                  <c:v>1353750</c:v>
                </c:pt>
                <c:pt idx="151">
                  <c:v>1362775</c:v>
                </c:pt>
                <c:pt idx="152">
                  <c:v>1371800</c:v>
                </c:pt>
                <c:pt idx="153">
                  <c:v>1380825</c:v>
                </c:pt>
                <c:pt idx="154">
                  <c:v>1389850</c:v>
                </c:pt>
                <c:pt idx="155">
                  <c:v>1398875</c:v>
                </c:pt>
                <c:pt idx="156">
                  <c:v>1407900</c:v>
                </c:pt>
                <c:pt idx="157">
                  <c:v>1416925</c:v>
                </c:pt>
                <c:pt idx="158">
                  <c:v>1425950</c:v>
                </c:pt>
                <c:pt idx="159">
                  <c:v>1434975</c:v>
                </c:pt>
                <c:pt idx="160">
                  <c:v>1444000</c:v>
                </c:pt>
                <c:pt idx="161">
                  <c:v>1453025</c:v>
                </c:pt>
                <c:pt idx="162">
                  <c:v>1462050</c:v>
                </c:pt>
                <c:pt idx="163">
                  <c:v>1471075</c:v>
                </c:pt>
                <c:pt idx="164">
                  <c:v>1480100</c:v>
                </c:pt>
                <c:pt idx="165">
                  <c:v>1489125</c:v>
                </c:pt>
                <c:pt idx="166">
                  <c:v>1498150</c:v>
                </c:pt>
                <c:pt idx="167">
                  <c:v>1507175</c:v>
                </c:pt>
                <c:pt idx="168">
                  <c:v>1516200</c:v>
                </c:pt>
                <c:pt idx="169">
                  <c:v>1525225</c:v>
                </c:pt>
                <c:pt idx="170">
                  <c:v>1534250.0000000002</c:v>
                </c:pt>
                <c:pt idx="171">
                  <c:v>1543275.0000000002</c:v>
                </c:pt>
                <c:pt idx="172">
                  <c:v>1552299.9999999998</c:v>
                </c:pt>
                <c:pt idx="173">
                  <c:v>1561324.9999999998</c:v>
                </c:pt>
                <c:pt idx="174">
                  <c:v>1570350</c:v>
                </c:pt>
                <c:pt idx="175">
                  <c:v>1579375</c:v>
                </c:pt>
                <c:pt idx="176">
                  <c:v>1588400</c:v>
                </c:pt>
                <c:pt idx="177">
                  <c:v>1597425</c:v>
                </c:pt>
                <c:pt idx="178">
                  <c:v>1606450</c:v>
                </c:pt>
                <c:pt idx="179">
                  <c:v>1615475</c:v>
                </c:pt>
                <c:pt idx="180">
                  <c:v>1624500</c:v>
                </c:pt>
                <c:pt idx="181">
                  <c:v>1633525</c:v>
                </c:pt>
                <c:pt idx="182">
                  <c:v>1642550</c:v>
                </c:pt>
                <c:pt idx="183">
                  <c:v>1651575</c:v>
                </c:pt>
                <c:pt idx="184">
                  <c:v>1660600</c:v>
                </c:pt>
                <c:pt idx="185">
                  <c:v>1669625</c:v>
                </c:pt>
                <c:pt idx="186">
                  <c:v>1678650</c:v>
                </c:pt>
                <c:pt idx="187">
                  <c:v>1687675</c:v>
                </c:pt>
                <c:pt idx="188">
                  <c:v>1696700</c:v>
                </c:pt>
                <c:pt idx="189">
                  <c:v>1705725</c:v>
                </c:pt>
                <c:pt idx="190">
                  <c:v>1714750</c:v>
                </c:pt>
                <c:pt idx="191">
                  <c:v>1723775</c:v>
                </c:pt>
                <c:pt idx="192">
                  <c:v>1732800</c:v>
                </c:pt>
                <c:pt idx="193">
                  <c:v>1741825</c:v>
                </c:pt>
                <c:pt idx="194">
                  <c:v>1750850</c:v>
                </c:pt>
                <c:pt idx="195">
                  <c:v>1759875</c:v>
                </c:pt>
                <c:pt idx="196">
                  <c:v>1768900</c:v>
                </c:pt>
                <c:pt idx="197">
                  <c:v>1777925</c:v>
                </c:pt>
                <c:pt idx="198">
                  <c:v>1786950</c:v>
                </c:pt>
                <c:pt idx="199">
                  <c:v>1795975</c:v>
                </c:pt>
                <c:pt idx="200">
                  <c:v>1805000</c:v>
                </c:pt>
                <c:pt idx="201">
                  <c:v>1814025</c:v>
                </c:pt>
                <c:pt idx="202">
                  <c:v>1823050.0000000002</c:v>
                </c:pt>
                <c:pt idx="203">
                  <c:v>1832075.0000000002</c:v>
                </c:pt>
                <c:pt idx="204">
                  <c:v>1841099.9999999998</c:v>
                </c:pt>
                <c:pt idx="205">
                  <c:v>1850124.9999999998</c:v>
                </c:pt>
                <c:pt idx="206">
                  <c:v>1859150</c:v>
                </c:pt>
                <c:pt idx="207">
                  <c:v>1868175</c:v>
                </c:pt>
                <c:pt idx="208">
                  <c:v>1877200</c:v>
                </c:pt>
                <c:pt idx="209">
                  <c:v>1886225</c:v>
                </c:pt>
                <c:pt idx="210">
                  <c:v>1895250</c:v>
                </c:pt>
                <c:pt idx="211">
                  <c:v>1904275</c:v>
                </c:pt>
                <c:pt idx="212">
                  <c:v>1913300</c:v>
                </c:pt>
                <c:pt idx="213">
                  <c:v>1922325</c:v>
                </c:pt>
                <c:pt idx="214">
                  <c:v>1931350</c:v>
                </c:pt>
                <c:pt idx="215">
                  <c:v>1940375</c:v>
                </c:pt>
                <c:pt idx="216">
                  <c:v>1949400</c:v>
                </c:pt>
                <c:pt idx="217">
                  <c:v>1958425</c:v>
                </c:pt>
                <c:pt idx="218">
                  <c:v>1967450</c:v>
                </c:pt>
                <c:pt idx="219">
                  <c:v>1976475</c:v>
                </c:pt>
                <c:pt idx="220">
                  <c:v>1985500</c:v>
                </c:pt>
                <c:pt idx="221">
                  <c:v>1994525</c:v>
                </c:pt>
                <c:pt idx="222">
                  <c:v>2003550</c:v>
                </c:pt>
                <c:pt idx="223">
                  <c:v>2012575</c:v>
                </c:pt>
                <c:pt idx="224">
                  <c:v>2021600</c:v>
                </c:pt>
                <c:pt idx="225">
                  <c:v>2030625</c:v>
                </c:pt>
                <c:pt idx="226">
                  <c:v>2039650</c:v>
                </c:pt>
                <c:pt idx="227">
                  <c:v>2048675</c:v>
                </c:pt>
                <c:pt idx="228">
                  <c:v>2057700</c:v>
                </c:pt>
                <c:pt idx="229">
                  <c:v>2066725</c:v>
                </c:pt>
                <c:pt idx="230">
                  <c:v>2075750</c:v>
                </c:pt>
                <c:pt idx="231">
                  <c:v>2084775</c:v>
                </c:pt>
                <c:pt idx="232">
                  <c:v>2093800</c:v>
                </c:pt>
                <c:pt idx="233">
                  <c:v>2102825</c:v>
                </c:pt>
                <c:pt idx="234">
                  <c:v>2111850</c:v>
                </c:pt>
                <c:pt idx="235">
                  <c:v>2120875</c:v>
                </c:pt>
                <c:pt idx="236">
                  <c:v>2129900</c:v>
                </c:pt>
                <c:pt idx="237">
                  <c:v>2138925</c:v>
                </c:pt>
                <c:pt idx="238">
                  <c:v>2147950</c:v>
                </c:pt>
                <c:pt idx="239">
                  <c:v>2156975</c:v>
                </c:pt>
                <c:pt idx="240">
                  <c:v>2166000</c:v>
                </c:pt>
                <c:pt idx="241">
                  <c:v>2175025</c:v>
                </c:pt>
                <c:pt idx="242">
                  <c:v>2184050</c:v>
                </c:pt>
                <c:pt idx="243">
                  <c:v>2193075</c:v>
                </c:pt>
                <c:pt idx="244">
                  <c:v>2202100</c:v>
                </c:pt>
                <c:pt idx="245">
                  <c:v>2211125</c:v>
                </c:pt>
                <c:pt idx="246">
                  <c:v>2220150</c:v>
                </c:pt>
                <c:pt idx="247">
                  <c:v>2229175</c:v>
                </c:pt>
                <c:pt idx="248">
                  <c:v>2238200</c:v>
                </c:pt>
                <c:pt idx="249">
                  <c:v>2247225</c:v>
                </c:pt>
                <c:pt idx="250">
                  <c:v>2256250</c:v>
                </c:pt>
                <c:pt idx="251">
                  <c:v>2265275</c:v>
                </c:pt>
                <c:pt idx="252">
                  <c:v>2274300</c:v>
                </c:pt>
                <c:pt idx="253">
                  <c:v>2283325</c:v>
                </c:pt>
                <c:pt idx="254">
                  <c:v>2292350</c:v>
                </c:pt>
                <c:pt idx="255">
                  <c:v>2301375</c:v>
                </c:pt>
                <c:pt idx="256">
                  <c:v>2310400</c:v>
                </c:pt>
                <c:pt idx="257">
                  <c:v>2319425</c:v>
                </c:pt>
                <c:pt idx="258">
                  <c:v>2328450</c:v>
                </c:pt>
                <c:pt idx="259">
                  <c:v>2337475</c:v>
                </c:pt>
                <c:pt idx="260">
                  <c:v>2346500</c:v>
                </c:pt>
                <c:pt idx="261">
                  <c:v>2355525</c:v>
                </c:pt>
                <c:pt idx="262">
                  <c:v>2364550</c:v>
                </c:pt>
                <c:pt idx="263">
                  <c:v>2373575</c:v>
                </c:pt>
                <c:pt idx="264">
                  <c:v>2382600</c:v>
                </c:pt>
                <c:pt idx="265">
                  <c:v>2391625</c:v>
                </c:pt>
                <c:pt idx="266">
                  <c:v>2400650</c:v>
                </c:pt>
                <c:pt idx="267">
                  <c:v>2409675</c:v>
                </c:pt>
                <c:pt idx="268">
                  <c:v>2418700</c:v>
                </c:pt>
                <c:pt idx="269">
                  <c:v>2427725</c:v>
                </c:pt>
                <c:pt idx="270">
                  <c:v>2436750</c:v>
                </c:pt>
                <c:pt idx="271">
                  <c:v>2445775</c:v>
                </c:pt>
                <c:pt idx="272">
                  <c:v>2454800</c:v>
                </c:pt>
                <c:pt idx="273">
                  <c:v>2463825</c:v>
                </c:pt>
                <c:pt idx="274">
                  <c:v>2472850</c:v>
                </c:pt>
                <c:pt idx="275">
                  <c:v>2481875</c:v>
                </c:pt>
                <c:pt idx="276">
                  <c:v>2490900</c:v>
                </c:pt>
                <c:pt idx="277">
                  <c:v>2499925</c:v>
                </c:pt>
                <c:pt idx="278">
                  <c:v>2508950.0000000005</c:v>
                </c:pt>
                <c:pt idx="279">
                  <c:v>2517975.0000000005</c:v>
                </c:pt>
                <c:pt idx="280">
                  <c:v>2527000.0000000005</c:v>
                </c:pt>
                <c:pt idx="281">
                  <c:v>2536025.0000000005</c:v>
                </c:pt>
                <c:pt idx="282">
                  <c:v>2545049.9999999995</c:v>
                </c:pt>
                <c:pt idx="283">
                  <c:v>2554074.9999999995</c:v>
                </c:pt>
                <c:pt idx="284">
                  <c:v>2563099.9999999995</c:v>
                </c:pt>
                <c:pt idx="285">
                  <c:v>2572124.9999999995</c:v>
                </c:pt>
                <c:pt idx="286">
                  <c:v>2581150</c:v>
                </c:pt>
                <c:pt idx="287">
                  <c:v>2590175</c:v>
                </c:pt>
                <c:pt idx="288">
                  <c:v>2599200</c:v>
                </c:pt>
                <c:pt idx="289">
                  <c:v>2608225</c:v>
                </c:pt>
                <c:pt idx="290">
                  <c:v>2617250</c:v>
                </c:pt>
                <c:pt idx="291">
                  <c:v>2626275</c:v>
                </c:pt>
                <c:pt idx="292">
                  <c:v>2635300</c:v>
                </c:pt>
                <c:pt idx="293">
                  <c:v>2644325</c:v>
                </c:pt>
                <c:pt idx="294">
                  <c:v>2653350</c:v>
                </c:pt>
                <c:pt idx="295">
                  <c:v>2662375</c:v>
                </c:pt>
                <c:pt idx="296">
                  <c:v>2671400</c:v>
                </c:pt>
                <c:pt idx="297">
                  <c:v>2680425</c:v>
                </c:pt>
                <c:pt idx="298">
                  <c:v>2689450</c:v>
                </c:pt>
                <c:pt idx="299">
                  <c:v>2698475</c:v>
                </c:pt>
                <c:pt idx="300">
                  <c:v>2707500</c:v>
                </c:pt>
                <c:pt idx="301">
                  <c:v>2716525</c:v>
                </c:pt>
                <c:pt idx="302">
                  <c:v>2725550</c:v>
                </c:pt>
                <c:pt idx="303">
                  <c:v>2734575</c:v>
                </c:pt>
                <c:pt idx="304">
                  <c:v>2743600</c:v>
                </c:pt>
                <c:pt idx="305">
                  <c:v>2752625</c:v>
                </c:pt>
                <c:pt idx="306">
                  <c:v>2761650</c:v>
                </c:pt>
                <c:pt idx="307">
                  <c:v>2770675</c:v>
                </c:pt>
                <c:pt idx="308">
                  <c:v>2779700</c:v>
                </c:pt>
                <c:pt idx="309">
                  <c:v>2788725</c:v>
                </c:pt>
                <c:pt idx="310">
                  <c:v>2797750</c:v>
                </c:pt>
                <c:pt idx="311">
                  <c:v>2806775</c:v>
                </c:pt>
                <c:pt idx="312">
                  <c:v>2815800</c:v>
                </c:pt>
                <c:pt idx="313">
                  <c:v>2824825</c:v>
                </c:pt>
                <c:pt idx="314">
                  <c:v>2833850</c:v>
                </c:pt>
                <c:pt idx="315">
                  <c:v>2842875</c:v>
                </c:pt>
                <c:pt idx="316">
                  <c:v>2851900</c:v>
                </c:pt>
                <c:pt idx="317">
                  <c:v>2860925</c:v>
                </c:pt>
                <c:pt idx="318">
                  <c:v>2869950</c:v>
                </c:pt>
                <c:pt idx="319">
                  <c:v>2878975</c:v>
                </c:pt>
                <c:pt idx="320">
                  <c:v>2888000</c:v>
                </c:pt>
                <c:pt idx="321">
                  <c:v>2897025</c:v>
                </c:pt>
                <c:pt idx="322">
                  <c:v>2906050</c:v>
                </c:pt>
                <c:pt idx="323">
                  <c:v>2915075</c:v>
                </c:pt>
                <c:pt idx="324">
                  <c:v>2924100</c:v>
                </c:pt>
                <c:pt idx="325">
                  <c:v>2933125</c:v>
                </c:pt>
                <c:pt idx="326">
                  <c:v>2942150</c:v>
                </c:pt>
                <c:pt idx="327">
                  <c:v>2951175</c:v>
                </c:pt>
                <c:pt idx="328">
                  <c:v>2960200</c:v>
                </c:pt>
                <c:pt idx="329">
                  <c:v>2969225</c:v>
                </c:pt>
                <c:pt idx="330">
                  <c:v>2978250</c:v>
                </c:pt>
                <c:pt idx="331">
                  <c:v>2987275</c:v>
                </c:pt>
                <c:pt idx="332">
                  <c:v>2996300</c:v>
                </c:pt>
                <c:pt idx="333">
                  <c:v>3005325</c:v>
                </c:pt>
                <c:pt idx="334">
                  <c:v>3014350</c:v>
                </c:pt>
                <c:pt idx="335">
                  <c:v>3023375</c:v>
                </c:pt>
                <c:pt idx="336">
                  <c:v>3032400</c:v>
                </c:pt>
                <c:pt idx="337">
                  <c:v>3041425</c:v>
                </c:pt>
                <c:pt idx="338">
                  <c:v>3050450</c:v>
                </c:pt>
                <c:pt idx="339">
                  <c:v>3059475</c:v>
                </c:pt>
                <c:pt idx="340">
                  <c:v>3068500.0000000005</c:v>
                </c:pt>
                <c:pt idx="341">
                  <c:v>3077525.0000000005</c:v>
                </c:pt>
                <c:pt idx="342">
                  <c:v>3086550.0000000005</c:v>
                </c:pt>
                <c:pt idx="343">
                  <c:v>3095575.0000000005</c:v>
                </c:pt>
                <c:pt idx="344">
                  <c:v>3104599.9999999995</c:v>
                </c:pt>
                <c:pt idx="345">
                  <c:v>3113624.9999999995</c:v>
                </c:pt>
                <c:pt idx="346">
                  <c:v>3122649.9999999995</c:v>
                </c:pt>
                <c:pt idx="347">
                  <c:v>3131674.9999999995</c:v>
                </c:pt>
                <c:pt idx="348">
                  <c:v>3140700</c:v>
                </c:pt>
                <c:pt idx="349">
                  <c:v>3149725</c:v>
                </c:pt>
                <c:pt idx="350">
                  <c:v>3158750</c:v>
                </c:pt>
                <c:pt idx="351">
                  <c:v>3167775</c:v>
                </c:pt>
                <c:pt idx="352">
                  <c:v>3176800</c:v>
                </c:pt>
                <c:pt idx="353">
                  <c:v>3185825</c:v>
                </c:pt>
                <c:pt idx="354">
                  <c:v>3194850</c:v>
                </c:pt>
                <c:pt idx="355">
                  <c:v>3203875</c:v>
                </c:pt>
                <c:pt idx="356">
                  <c:v>3212900</c:v>
                </c:pt>
                <c:pt idx="357">
                  <c:v>3221925</c:v>
                </c:pt>
                <c:pt idx="358">
                  <c:v>3230950</c:v>
                </c:pt>
                <c:pt idx="359">
                  <c:v>3239975</c:v>
                </c:pt>
                <c:pt idx="360">
                  <c:v>3249000</c:v>
                </c:pt>
                <c:pt idx="361">
                  <c:v>3258025</c:v>
                </c:pt>
                <c:pt idx="362">
                  <c:v>3267050</c:v>
                </c:pt>
                <c:pt idx="363">
                  <c:v>3276075</c:v>
                </c:pt>
                <c:pt idx="364">
                  <c:v>3285100</c:v>
                </c:pt>
                <c:pt idx="365">
                  <c:v>3294125</c:v>
                </c:pt>
                <c:pt idx="366">
                  <c:v>3303150</c:v>
                </c:pt>
                <c:pt idx="367">
                  <c:v>3312175</c:v>
                </c:pt>
                <c:pt idx="368">
                  <c:v>3321200</c:v>
                </c:pt>
                <c:pt idx="369">
                  <c:v>3330225</c:v>
                </c:pt>
                <c:pt idx="370">
                  <c:v>3339250</c:v>
                </c:pt>
                <c:pt idx="371">
                  <c:v>3348275</c:v>
                </c:pt>
                <c:pt idx="372">
                  <c:v>3357300</c:v>
                </c:pt>
                <c:pt idx="373">
                  <c:v>3366325</c:v>
                </c:pt>
                <c:pt idx="374">
                  <c:v>3375350</c:v>
                </c:pt>
                <c:pt idx="375">
                  <c:v>3384375</c:v>
                </c:pt>
                <c:pt idx="376">
                  <c:v>3393400</c:v>
                </c:pt>
                <c:pt idx="377">
                  <c:v>3402425</c:v>
                </c:pt>
                <c:pt idx="378">
                  <c:v>3411450</c:v>
                </c:pt>
                <c:pt idx="379">
                  <c:v>3420475</c:v>
                </c:pt>
                <c:pt idx="380">
                  <c:v>3429500</c:v>
                </c:pt>
                <c:pt idx="381">
                  <c:v>3438525</c:v>
                </c:pt>
                <c:pt idx="382">
                  <c:v>3447550</c:v>
                </c:pt>
                <c:pt idx="383">
                  <c:v>3456575</c:v>
                </c:pt>
                <c:pt idx="384">
                  <c:v>3465600</c:v>
                </c:pt>
                <c:pt idx="385">
                  <c:v>3474625</c:v>
                </c:pt>
                <c:pt idx="386">
                  <c:v>3483650</c:v>
                </c:pt>
                <c:pt idx="387">
                  <c:v>3492675</c:v>
                </c:pt>
                <c:pt idx="388">
                  <c:v>3501700</c:v>
                </c:pt>
                <c:pt idx="389">
                  <c:v>3510725</c:v>
                </c:pt>
                <c:pt idx="390">
                  <c:v>3519750</c:v>
                </c:pt>
                <c:pt idx="391">
                  <c:v>3528775</c:v>
                </c:pt>
                <c:pt idx="392">
                  <c:v>3537800</c:v>
                </c:pt>
                <c:pt idx="393">
                  <c:v>3546825</c:v>
                </c:pt>
                <c:pt idx="394">
                  <c:v>3555850</c:v>
                </c:pt>
                <c:pt idx="395">
                  <c:v>3564875</c:v>
                </c:pt>
                <c:pt idx="396">
                  <c:v>3573900</c:v>
                </c:pt>
                <c:pt idx="397">
                  <c:v>3582925</c:v>
                </c:pt>
                <c:pt idx="398">
                  <c:v>3591950</c:v>
                </c:pt>
                <c:pt idx="399">
                  <c:v>3600975</c:v>
                </c:pt>
                <c:pt idx="400">
                  <c:v>3610000</c:v>
                </c:pt>
                <c:pt idx="401">
                  <c:v>3619025</c:v>
                </c:pt>
                <c:pt idx="402">
                  <c:v>3628050</c:v>
                </c:pt>
                <c:pt idx="403">
                  <c:v>3637075.0000000005</c:v>
                </c:pt>
                <c:pt idx="404">
                  <c:v>3646100.0000000005</c:v>
                </c:pt>
                <c:pt idx="405">
                  <c:v>3655125.0000000005</c:v>
                </c:pt>
                <c:pt idx="406">
                  <c:v>3664150.0000000005</c:v>
                </c:pt>
                <c:pt idx="407">
                  <c:v>3673174.9999999995</c:v>
                </c:pt>
                <c:pt idx="408">
                  <c:v>3682199.9999999995</c:v>
                </c:pt>
                <c:pt idx="409">
                  <c:v>3691224.9999999995</c:v>
                </c:pt>
                <c:pt idx="410">
                  <c:v>3700249.9999999995</c:v>
                </c:pt>
                <c:pt idx="411">
                  <c:v>3709275</c:v>
                </c:pt>
                <c:pt idx="412">
                  <c:v>3718300</c:v>
                </c:pt>
                <c:pt idx="413">
                  <c:v>3727325</c:v>
                </c:pt>
                <c:pt idx="414">
                  <c:v>3736350</c:v>
                </c:pt>
                <c:pt idx="415">
                  <c:v>3745375</c:v>
                </c:pt>
                <c:pt idx="416">
                  <c:v>3754400</c:v>
                </c:pt>
                <c:pt idx="417">
                  <c:v>3763425</c:v>
                </c:pt>
                <c:pt idx="418">
                  <c:v>3772450</c:v>
                </c:pt>
                <c:pt idx="419">
                  <c:v>3781475</c:v>
                </c:pt>
                <c:pt idx="420">
                  <c:v>3790500</c:v>
                </c:pt>
                <c:pt idx="421">
                  <c:v>3799525</c:v>
                </c:pt>
                <c:pt idx="422">
                  <c:v>3808550</c:v>
                </c:pt>
                <c:pt idx="423">
                  <c:v>3817575</c:v>
                </c:pt>
                <c:pt idx="424">
                  <c:v>3826600</c:v>
                </c:pt>
                <c:pt idx="425">
                  <c:v>3835625</c:v>
                </c:pt>
                <c:pt idx="426">
                  <c:v>3844650</c:v>
                </c:pt>
                <c:pt idx="427">
                  <c:v>3853675</c:v>
                </c:pt>
                <c:pt idx="428">
                  <c:v>3862700</c:v>
                </c:pt>
                <c:pt idx="429">
                  <c:v>3871725</c:v>
                </c:pt>
                <c:pt idx="430">
                  <c:v>3880750</c:v>
                </c:pt>
                <c:pt idx="431">
                  <c:v>3889775</c:v>
                </c:pt>
                <c:pt idx="432">
                  <c:v>3898800</c:v>
                </c:pt>
                <c:pt idx="433">
                  <c:v>3907825</c:v>
                </c:pt>
                <c:pt idx="434">
                  <c:v>3916850</c:v>
                </c:pt>
                <c:pt idx="435">
                  <c:v>3925875</c:v>
                </c:pt>
                <c:pt idx="436">
                  <c:v>3934900</c:v>
                </c:pt>
                <c:pt idx="437">
                  <c:v>3943925</c:v>
                </c:pt>
                <c:pt idx="438">
                  <c:v>3952950</c:v>
                </c:pt>
                <c:pt idx="439">
                  <c:v>3961975</c:v>
                </c:pt>
                <c:pt idx="440">
                  <c:v>3971000</c:v>
                </c:pt>
                <c:pt idx="441">
                  <c:v>3980025</c:v>
                </c:pt>
                <c:pt idx="442">
                  <c:v>3989050</c:v>
                </c:pt>
                <c:pt idx="443">
                  <c:v>3998075</c:v>
                </c:pt>
                <c:pt idx="444">
                  <c:v>4007100</c:v>
                </c:pt>
                <c:pt idx="445">
                  <c:v>4016125</c:v>
                </c:pt>
                <c:pt idx="446">
                  <c:v>4025150</c:v>
                </c:pt>
                <c:pt idx="447">
                  <c:v>4034175</c:v>
                </c:pt>
                <c:pt idx="448">
                  <c:v>4043200</c:v>
                </c:pt>
                <c:pt idx="449">
                  <c:v>4052225</c:v>
                </c:pt>
                <c:pt idx="450">
                  <c:v>4061250</c:v>
                </c:pt>
                <c:pt idx="451">
                  <c:v>4070275</c:v>
                </c:pt>
                <c:pt idx="452">
                  <c:v>4079300</c:v>
                </c:pt>
                <c:pt idx="453">
                  <c:v>4088325</c:v>
                </c:pt>
                <c:pt idx="454">
                  <c:v>4097350</c:v>
                </c:pt>
                <c:pt idx="455">
                  <c:v>4106375</c:v>
                </c:pt>
                <c:pt idx="456">
                  <c:v>4115400</c:v>
                </c:pt>
                <c:pt idx="457">
                  <c:v>4124425</c:v>
                </c:pt>
                <c:pt idx="458">
                  <c:v>4133450</c:v>
                </c:pt>
                <c:pt idx="459">
                  <c:v>4142475</c:v>
                </c:pt>
                <c:pt idx="460">
                  <c:v>4151500</c:v>
                </c:pt>
                <c:pt idx="461">
                  <c:v>4160525</c:v>
                </c:pt>
                <c:pt idx="462">
                  <c:v>4169550</c:v>
                </c:pt>
                <c:pt idx="463">
                  <c:v>4178575</c:v>
                </c:pt>
                <c:pt idx="464">
                  <c:v>4187600</c:v>
                </c:pt>
                <c:pt idx="465">
                  <c:v>4196625</c:v>
                </c:pt>
                <c:pt idx="466">
                  <c:v>4205650</c:v>
                </c:pt>
                <c:pt idx="467">
                  <c:v>4214675</c:v>
                </c:pt>
                <c:pt idx="468">
                  <c:v>4223700</c:v>
                </c:pt>
                <c:pt idx="469">
                  <c:v>4232725</c:v>
                </c:pt>
                <c:pt idx="470">
                  <c:v>4241750</c:v>
                </c:pt>
                <c:pt idx="471">
                  <c:v>4250775</c:v>
                </c:pt>
                <c:pt idx="472">
                  <c:v>4259800</c:v>
                </c:pt>
                <c:pt idx="473">
                  <c:v>4268825</c:v>
                </c:pt>
                <c:pt idx="474">
                  <c:v>4277850</c:v>
                </c:pt>
                <c:pt idx="475">
                  <c:v>4286875</c:v>
                </c:pt>
                <c:pt idx="476">
                  <c:v>4295900</c:v>
                </c:pt>
                <c:pt idx="477">
                  <c:v>4304925</c:v>
                </c:pt>
                <c:pt idx="478">
                  <c:v>4313950</c:v>
                </c:pt>
                <c:pt idx="479">
                  <c:v>4322975</c:v>
                </c:pt>
                <c:pt idx="480">
                  <c:v>4332000</c:v>
                </c:pt>
                <c:pt idx="481">
                  <c:v>4341025</c:v>
                </c:pt>
                <c:pt idx="482">
                  <c:v>4350050</c:v>
                </c:pt>
                <c:pt idx="483">
                  <c:v>4359075</c:v>
                </c:pt>
                <c:pt idx="484">
                  <c:v>4368100</c:v>
                </c:pt>
                <c:pt idx="485">
                  <c:v>4377125</c:v>
                </c:pt>
                <c:pt idx="486">
                  <c:v>4386150</c:v>
                </c:pt>
                <c:pt idx="487">
                  <c:v>4395175</c:v>
                </c:pt>
                <c:pt idx="488">
                  <c:v>4404200</c:v>
                </c:pt>
                <c:pt idx="489">
                  <c:v>4413225</c:v>
                </c:pt>
                <c:pt idx="490">
                  <c:v>4422250</c:v>
                </c:pt>
                <c:pt idx="491">
                  <c:v>4431275</c:v>
                </c:pt>
                <c:pt idx="492">
                  <c:v>4440300</c:v>
                </c:pt>
                <c:pt idx="493">
                  <c:v>4449325</c:v>
                </c:pt>
                <c:pt idx="494">
                  <c:v>4458350</c:v>
                </c:pt>
                <c:pt idx="495">
                  <c:v>4467375</c:v>
                </c:pt>
                <c:pt idx="496">
                  <c:v>4476400</c:v>
                </c:pt>
                <c:pt idx="497">
                  <c:v>4485425</c:v>
                </c:pt>
                <c:pt idx="498">
                  <c:v>4494450</c:v>
                </c:pt>
                <c:pt idx="499">
                  <c:v>4503475</c:v>
                </c:pt>
                <c:pt idx="500">
                  <c:v>4512500</c:v>
                </c:pt>
                <c:pt idx="501">
                  <c:v>4521525</c:v>
                </c:pt>
                <c:pt idx="502">
                  <c:v>4530550</c:v>
                </c:pt>
                <c:pt idx="503">
                  <c:v>4539575</c:v>
                </c:pt>
                <c:pt idx="504">
                  <c:v>4548600</c:v>
                </c:pt>
                <c:pt idx="505">
                  <c:v>4557625</c:v>
                </c:pt>
                <c:pt idx="506">
                  <c:v>4566650</c:v>
                </c:pt>
                <c:pt idx="507">
                  <c:v>4575675</c:v>
                </c:pt>
                <c:pt idx="508">
                  <c:v>4584700</c:v>
                </c:pt>
                <c:pt idx="509">
                  <c:v>4593725</c:v>
                </c:pt>
                <c:pt idx="510">
                  <c:v>4602750</c:v>
                </c:pt>
                <c:pt idx="511">
                  <c:v>4611775</c:v>
                </c:pt>
                <c:pt idx="512">
                  <c:v>4620800</c:v>
                </c:pt>
                <c:pt idx="513">
                  <c:v>4629825</c:v>
                </c:pt>
                <c:pt idx="514">
                  <c:v>4638850</c:v>
                </c:pt>
                <c:pt idx="515">
                  <c:v>4647875</c:v>
                </c:pt>
                <c:pt idx="516">
                  <c:v>4656900</c:v>
                </c:pt>
                <c:pt idx="517">
                  <c:v>4665925</c:v>
                </c:pt>
                <c:pt idx="518">
                  <c:v>4674950</c:v>
                </c:pt>
                <c:pt idx="519">
                  <c:v>4683975</c:v>
                </c:pt>
                <c:pt idx="520">
                  <c:v>4693000</c:v>
                </c:pt>
                <c:pt idx="521">
                  <c:v>4702025</c:v>
                </c:pt>
                <c:pt idx="522">
                  <c:v>4711050</c:v>
                </c:pt>
                <c:pt idx="523">
                  <c:v>4720075</c:v>
                </c:pt>
                <c:pt idx="524">
                  <c:v>4729100</c:v>
                </c:pt>
                <c:pt idx="525">
                  <c:v>4738125</c:v>
                </c:pt>
                <c:pt idx="526">
                  <c:v>4747150</c:v>
                </c:pt>
                <c:pt idx="527">
                  <c:v>4756175</c:v>
                </c:pt>
                <c:pt idx="528">
                  <c:v>4765200</c:v>
                </c:pt>
                <c:pt idx="529">
                  <c:v>4774225</c:v>
                </c:pt>
                <c:pt idx="530">
                  <c:v>4783250</c:v>
                </c:pt>
                <c:pt idx="531">
                  <c:v>4792275</c:v>
                </c:pt>
                <c:pt idx="532">
                  <c:v>4801300</c:v>
                </c:pt>
                <c:pt idx="533">
                  <c:v>4810325</c:v>
                </c:pt>
                <c:pt idx="534">
                  <c:v>4819350</c:v>
                </c:pt>
                <c:pt idx="535">
                  <c:v>4828375</c:v>
                </c:pt>
                <c:pt idx="536">
                  <c:v>4837400</c:v>
                </c:pt>
                <c:pt idx="537">
                  <c:v>4846425</c:v>
                </c:pt>
                <c:pt idx="538">
                  <c:v>4855450</c:v>
                </c:pt>
                <c:pt idx="539">
                  <c:v>4864475</c:v>
                </c:pt>
                <c:pt idx="540">
                  <c:v>4873500</c:v>
                </c:pt>
                <c:pt idx="541">
                  <c:v>4882525</c:v>
                </c:pt>
                <c:pt idx="542">
                  <c:v>4891550</c:v>
                </c:pt>
                <c:pt idx="543">
                  <c:v>4900575</c:v>
                </c:pt>
                <c:pt idx="544">
                  <c:v>4909600</c:v>
                </c:pt>
                <c:pt idx="545">
                  <c:v>4918625</c:v>
                </c:pt>
                <c:pt idx="546">
                  <c:v>4927650</c:v>
                </c:pt>
                <c:pt idx="547">
                  <c:v>4936675</c:v>
                </c:pt>
                <c:pt idx="548">
                  <c:v>4945700</c:v>
                </c:pt>
                <c:pt idx="549">
                  <c:v>4954725</c:v>
                </c:pt>
                <c:pt idx="550">
                  <c:v>4963750</c:v>
                </c:pt>
                <c:pt idx="551">
                  <c:v>4972775</c:v>
                </c:pt>
                <c:pt idx="552">
                  <c:v>4981800</c:v>
                </c:pt>
                <c:pt idx="553">
                  <c:v>4990825</c:v>
                </c:pt>
                <c:pt idx="554">
                  <c:v>4999850</c:v>
                </c:pt>
                <c:pt idx="555">
                  <c:v>5008875.0000000009</c:v>
                </c:pt>
                <c:pt idx="556">
                  <c:v>5017900.0000000009</c:v>
                </c:pt>
                <c:pt idx="557">
                  <c:v>5026925.0000000009</c:v>
                </c:pt>
                <c:pt idx="558">
                  <c:v>5035950.0000000009</c:v>
                </c:pt>
                <c:pt idx="559">
                  <c:v>5044975.0000000009</c:v>
                </c:pt>
                <c:pt idx="560">
                  <c:v>5054000.0000000009</c:v>
                </c:pt>
                <c:pt idx="561">
                  <c:v>5063025.0000000009</c:v>
                </c:pt>
                <c:pt idx="562">
                  <c:v>5072050.0000000009</c:v>
                </c:pt>
                <c:pt idx="563">
                  <c:v>5081074.9999999991</c:v>
                </c:pt>
                <c:pt idx="564">
                  <c:v>5090099.9999999991</c:v>
                </c:pt>
                <c:pt idx="565">
                  <c:v>5099124.9999999991</c:v>
                </c:pt>
                <c:pt idx="566">
                  <c:v>5108149.9999999991</c:v>
                </c:pt>
                <c:pt idx="567">
                  <c:v>5117174.9999999991</c:v>
                </c:pt>
                <c:pt idx="568">
                  <c:v>5126199.9999999991</c:v>
                </c:pt>
                <c:pt idx="569">
                  <c:v>5135224.9999999991</c:v>
                </c:pt>
                <c:pt idx="570">
                  <c:v>5144249.9999999991</c:v>
                </c:pt>
                <c:pt idx="571">
                  <c:v>5153275</c:v>
                </c:pt>
                <c:pt idx="572">
                  <c:v>5162300</c:v>
                </c:pt>
                <c:pt idx="573">
                  <c:v>5171325</c:v>
                </c:pt>
                <c:pt idx="574">
                  <c:v>5180350</c:v>
                </c:pt>
                <c:pt idx="575">
                  <c:v>5189375</c:v>
                </c:pt>
                <c:pt idx="576">
                  <c:v>5198400</c:v>
                </c:pt>
                <c:pt idx="577">
                  <c:v>5207425</c:v>
                </c:pt>
                <c:pt idx="578">
                  <c:v>5216450</c:v>
                </c:pt>
                <c:pt idx="579">
                  <c:v>5225475</c:v>
                </c:pt>
                <c:pt idx="580">
                  <c:v>5234500</c:v>
                </c:pt>
                <c:pt idx="581">
                  <c:v>5243525</c:v>
                </c:pt>
                <c:pt idx="582">
                  <c:v>5252550</c:v>
                </c:pt>
                <c:pt idx="583">
                  <c:v>5261575</c:v>
                </c:pt>
                <c:pt idx="584">
                  <c:v>5270600</c:v>
                </c:pt>
                <c:pt idx="585">
                  <c:v>5279625</c:v>
                </c:pt>
                <c:pt idx="586">
                  <c:v>5288650</c:v>
                </c:pt>
                <c:pt idx="587">
                  <c:v>5297675</c:v>
                </c:pt>
                <c:pt idx="588">
                  <c:v>5306700</c:v>
                </c:pt>
                <c:pt idx="589">
                  <c:v>5315725</c:v>
                </c:pt>
                <c:pt idx="590">
                  <c:v>5324750</c:v>
                </c:pt>
                <c:pt idx="591">
                  <c:v>5333775</c:v>
                </c:pt>
                <c:pt idx="592">
                  <c:v>5342800</c:v>
                </c:pt>
                <c:pt idx="593">
                  <c:v>5351825</c:v>
                </c:pt>
                <c:pt idx="594">
                  <c:v>5360850</c:v>
                </c:pt>
                <c:pt idx="595">
                  <c:v>5369875</c:v>
                </c:pt>
                <c:pt idx="596">
                  <c:v>5378900</c:v>
                </c:pt>
                <c:pt idx="597">
                  <c:v>5387925</c:v>
                </c:pt>
                <c:pt idx="598">
                  <c:v>5396950</c:v>
                </c:pt>
                <c:pt idx="599">
                  <c:v>5405975</c:v>
                </c:pt>
                <c:pt idx="600">
                  <c:v>5415000</c:v>
                </c:pt>
                <c:pt idx="601">
                  <c:v>5424025</c:v>
                </c:pt>
                <c:pt idx="602">
                  <c:v>5433050</c:v>
                </c:pt>
                <c:pt idx="603">
                  <c:v>5442075</c:v>
                </c:pt>
                <c:pt idx="604">
                  <c:v>5451100</c:v>
                </c:pt>
                <c:pt idx="605">
                  <c:v>5460125</c:v>
                </c:pt>
                <c:pt idx="606">
                  <c:v>5469150</c:v>
                </c:pt>
                <c:pt idx="607">
                  <c:v>5478175</c:v>
                </c:pt>
                <c:pt idx="608">
                  <c:v>5487200</c:v>
                </c:pt>
                <c:pt idx="609">
                  <c:v>5496225</c:v>
                </c:pt>
                <c:pt idx="610">
                  <c:v>5505250</c:v>
                </c:pt>
                <c:pt idx="611">
                  <c:v>5514275</c:v>
                </c:pt>
                <c:pt idx="612">
                  <c:v>5523300</c:v>
                </c:pt>
                <c:pt idx="613">
                  <c:v>5532325</c:v>
                </c:pt>
                <c:pt idx="614">
                  <c:v>5541350</c:v>
                </c:pt>
                <c:pt idx="615">
                  <c:v>5550375</c:v>
                </c:pt>
                <c:pt idx="616">
                  <c:v>5559400</c:v>
                </c:pt>
                <c:pt idx="617">
                  <c:v>5568425</c:v>
                </c:pt>
                <c:pt idx="618">
                  <c:v>5577450</c:v>
                </c:pt>
                <c:pt idx="619">
                  <c:v>5586475</c:v>
                </c:pt>
                <c:pt idx="620">
                  <c:v>5595500</c:v>
                </c:pt>
                <c:pt idx="621">
                  <c:v>5604525</c:v>
                </c:pt>
                <c:pt idx="622">
                  <c:v>5613550</c:v>
                </c:pt>
                <c:pt idx="623">
                  <c:v>5622575</c:v>
                </c:pt>
                <c:pt idx="624">
                  <c:v>5631600</c:v>
                </c:pt>
                <c:pt idx="625">
                  <c:v>5640625</c:v>
                </c:pt>
                <c:pt idx="626">
                  <c:v>5649650</c:v>
                </c:pt>
                <c:pt idx="627">
                  <c:v>5658675</c:v>
                </c:pt>
                <c:pt idx="628">
                  <c:v>5667700</c:v>
                </c:pt>
                <c:pt idx="629">
                  <c:v>5676725</c:v>
                </c:pt>
                <c:pt idx="630">
                  <c:v>5685750</c:v>
                </c:pt>
                <c:pt idx="631">
                  <c:v>5694775</c:v>
                </c:pt>
                <c:pt idx="632">
                  <c:v>5703800</c:v>
                </c:pt>
                <c:pt idx="633">
                  <c:v>5712825</c:v>
                </c:pt>
                <c:pt idx="634">
                  <c:v>5721850</c:v>
                </c:pt>
                <c:pt idx="635">
                  <c:v>5730875</c:v>
                </c:pt>
                <c:pt idx="636">
                  <c:v>5739900</c:v>
                </c:pt>
                <c:pt idx="637">
                  <c:v>5748925</c:v>
                </c:pt>
                <c:pt idx="638">
                  <c:v>5757950</c:v>
                </c:pt>
                <c:pt idx="639">
                  <c:v>5766975</c:v>
                </c:pt>
                <c:pt idx="640">
                  <c:v>5776000</c:v>
                </c:pt>
                <c:pt idx="641">
                  <c:v>5785025</c:v>
                </c:pt>
                <c:pt idx="642">
                  <c:v>5794050</c:v>
                </c:pt>
                <c:pt idx="643">
                  <c:v>5803075</c:v>
                </c:pt>
                <c:pt idx="644">
                  <c:v>5812100</c:v>
                </c:pt>
                <c:pt idx="645">
                  <c:v>5821125</c:v>
                </c:pt>
                <c:pt idx="646">
                  <c:v>5830150</c:v>
                </c:pt>
                <c:pt idx="647">
                  <c:v>5839175</c:v>
                </c:pt>
                <c:pt idx="648">
                  <c:v>5848200</c:v>
                </c:pt>
                <c:pt idx="649">
                  <c:v>5857225</c:v>
                </c:pt>
                <c:pt idx="650">
                  <c:v>5866250</c:v>
                </c:pt>
                <c:pt idx="651">
                  <c:v>5875275</c:v>
                </c:pt>
                <c:pt idx="652">
                  <c:v>5884300</c:v>
                </c:pt>
                <c:pt idx="653">
                  <c:v>5893325</c:v>
                </c:pt>
                <c:pt idx="654">
                  <c:v>5902350</c:v>
                </c:pt>
                <c:pt idx="655">
                  <c:v>5911375</c:v>
                </c:pt>
                <c:pt idx="656">
                  <c:v>5920400</c:v>
                </c:pt>
                <c:pt idx="657">
                  <c:v>5929425</c:v>
                </c:pt>
                <c:pt idx="658">
                  <c:v>5938450</c:v>
                </c:pt>
                <c:pt idx="659">
                  <c:v>5947475</c:v>
                </c:pt>
                <c:pt idx="660">
                  <c:v>5956500</c:v>
                </c:pt>
                <c:pt idx="661">
                  <c:v>5965525</c:v>
                </c:pt>
                <c:pt idx="662">
                  <c:v>5974550</c:v>
                </c:pt>
                <c:pt idx="663">
                  <c:v>5983575</c:v>
                </c:pt>
                <c:pt idx="664">
                  <c:v>5992600</c:v>
                </c:pt>
                <c:pt idx="665">
                  <c:v>6001625</c:v>
                </c:pt>
                <c:pt idx="666">
                  <c:v>6010650</c:v>
                </c:pt>
                <c:pt idx="667">
                  <c:v>6019675</c:v>
                </c:pt>
                <c:pt idx="668">
                  <c:v>6028700</c:v>
                </c:pt>
                <c:pt idx="669">
                  <c:v>6037725</c:v>
                </c:pt>
                <c:pt idx="670">
                  <c:v>6046750</c:v>
                </c:pt>
                <c:pt idx="671">
                  <c:v>6055775</c:v>
                </c:pt>
                <c:pt idx="672">
                  <c:v>6064800</c:v>
                </c:pt>
                <c:pt idx="673">
                  <c:v>6073825</c:v>
                </c:pt>
                <c:pt idx="674">
                  <c:v>6082850</c:v>
                </c:pt>
                <c:pt idx="675">
                  <c:v>6091875</c:v>
                </c:pt>
                <c:pt idx="676">
                  <c:v>6100900</c:v>
                </c:pt>
                <c:pt idx="677">
                  <c:v>6109925</c:v>
                </c:pt>
                <c:pt idx="678">
                  <c:v>6118950</c:v>
                </c:pt>
                <c:pt idx="679">
                  <c:v>6127975</c:v>
                </c:pt>
                <c:pt idx="680">
                  <c:v>6137000.0000000009</c:v>
                </c:pt>
                <c:pt idx="681">
                  <c:v>6146025.0000000009</c:v>
                </c:pt>
                <c:pt idx="682">
                  <c:v>6155050.0000000009</c:v>
                </c:pt>
                <c:pt idx="683">
                  <c:v>6164075.0000000009</c:v>
                </c:pt>
                <c:pt idx="684">
                  <c:v>6173100.0000000009</c:v>
                </c:pt>
                <c:pt idx="685">
                  <c:v>6182125.0000000009</c:v>
                </c:pt>
                <c:pt idx="686">
                  <c:v>6191150.0000000009</c:v>
                </c:pt>
                <c:pt idx="687">
                  <c:v>6200175.0000000009</c:v>
                </c:pt>
                <c:pt idx="688">
                  <c:v>6209199.9999999991</c:v>
                </c:pt>
                <c:pt idx="689">
                  <c:v>6218224.9999999991</c:v>
                </c:pt>
                <c:pt idx="690">
                  <c:v>6227249.9999999991</c:v>
                </c:pt>
                <c:pt idx="691">
                  <c:v>6236274.9999999991</c:v>
                </c:pt>
                <c:pt idx="692">
                  <c:v>6245299.9999999991</c:v>
                </c:pt>
                <c:pt idx="693">
                  <c:v>6254324.9999999991</c:v>
                </c:pt>
                <c:pt idx="694">
                  <c:v>6263349.9999999991</c:v>
                </c:pt>
                <c:pt idx="695">
                  <c:v>6272374.9999999991</c:v>
                </c:pt>
                <c:pt idx="696">
                  <c:v>6281400</c:v>
                </c:pt>
                <c:pt idx="697">
                  <c:v>6290425</c:v>
                </c:pt>
                <c:pt idx="698">
                  <c:v>6299450</c:v>
                </c:pt>
                <c:pt idx="699">
                  <c:v>6308475</c:v>
                </c:pt>
                <c:pt idx="700">
                  <c:v>6317500</c:v>
                </c:pt>
                <c:pt idx="701">
                  <c:v>6326525</c:v>
                </c:pt>
                <c:pt idx="702">
                  <c:v>6335550</c:v>
                </c:pt>
                <c:pt idx="703">
                  <c:v>6344575</c:v>
                </c:pt>
                <c:pt idx="704">
                  <c:v>6353600</c:v>
                </c:pt>
                <c:pt idx="705">
                  <c:v>6362625</c:v>
                </c:pt>
                <c:pt idx="706">
                  <c:v>6371650</c:v>
                </c:pt>
                <c:pt idx="707">
                  <c:v>6380675</c:v>
                </c:pt>
                <c:pt idx="708">
                  <c:v>6389700</c:v>
                </c:pt>
                <c:pt idx="709">
                  <c:v>6398725</c:v>
                </c:pt>
                <c:pt idx="710">
                  <c:v>6407750</c:v>
                </c:pt>
                <c:pt idx="711">
                  <c:v>6416775</c:v>
                </c:pt>
                <c:pt idx="712">
                  <c:v>6425800</c:v>
                </c:pt>
                <c:pt idx="713">
                  <c:v>6434825</c:v>
                </c:pt>
                <c:pt idx="714">
                  <c:v>6443850</c:v>
                </c:pt>
                <c:pt idx="715">
                  <c:v>6452875</c:v>
                </c:pt>
                <c:pt idx="716">
                  <c:v>6461900</c:v>
                </c:pt>
                <c:pt idx="717">
                  <c:v>6470925</c:v>
                </c:pt>
                <c:pt idx="718">
                  <c:v>6479950</c:v>
                </c:pt>
                <c:pt idx="719">
                  <c:v>6488975</c:v>
                </c:pt>
                <c:pt idx="720">
                  <c:v>6498000</c:v>
                </c:pt>
                <c:pt idx="721">
                  <c:v>6507025</c:v>
                </c:pt>
                <c:pt idx="722">
                  <c:v>6516050</c:v>
                </c:pt>
                <c:pt idx="723">
                  <c:v>6525075</c:v>
                </c:pt>
                <c:pt idx="724">
                  <c:v>6534100</c:v>
                </c:pt>
                <c:pt idx="725">
                  <c:v>6543125</c:v>
                </c:pt>
                <c:pt idx="726">
                  <c:v>6552150</c:v>
                </c:pt>
                <c:pt idx="727">
                  <c:v>6561175</c:v>
                </c:pt>
                <c:pt idx="728">
                  <c:v>6570200</c:v>
                </c:pt>
                <c:pt idx="729">
                  <c:v>6579225</c:v>
                </c:pt>
                <c:pt idx="730">
                  <c:v>6588250</c:v>
                </c:pt>
                <c:pt idx="731">
                  <c:v>6597275</c:v>
                </c:pt>
                <c:pt idx="732">
                  <c:v>6606300</c:v>
                </c:pt>
                <c:pt idx="733">
                  <c:v>6615325</c:v>
                </c:pt>
                <c:pt idx="734">
                  <c:v>6624350</c:v>
                </c:pt>
                <c:pt idx="735">
                  <c:v>6633375</c:v>
                </c:pt>
                <c:pt idx="736">
                  <c:v>6642400</c:v>
                </c:pt>
                <c:pt idx="737">
                  <c:v>6651425</c:v>
                </c:pt>
                <c:pt idx="738">
                  <c:v>6660450</c:v>
                </c:pt>
                <c:pt idx="739">
                  <c:v>6669475</c:v>
                </c:pt>
                <c:pt idx="740">
                  <c:v>6678500</c:v>
                </c:pt>
                <c:pt idx="741">
                  <c:v>6687525</c:v>
                </c:pt>
                <c:pt idx="742">
                  <c:v>6696550</c:v>
                </c:pt>
                <c:pt idx="743">
                  <c:v>6705575</c:v>
                </c:pt>
                <c:pt idx="744">
                  <c:v>6714600</c:v>
                </c:pt>
                <c:pt idx="745">
                  <c:v>6723625</c:v>
                </c:pt>
                <c:pt idx="746">
                  <c:v>6732650</c:v>
                </c:pt>
                <c:pt idx="747">
                  <c:v>6741675</c:v>
                </c:pt>
                <c:pt idx="748">
                  <c:v>6750700</c:v>
                </c:pt>
                <c:pt idx="749">
                  <c:v>6759725</c:v>
                </c:pt>
                <c:pt idx="750">
                  <c:v>6768750</c:v>
                </c:pt>
                <c:pt idx="751">
                  <c:v>6777775</c:v>
                </c:pt>
                <c:pt idx="752">
                  <c:v>6786800</c:v>
                </c:pt>
                <c:pt idx="753">
                  <c:v>6795825</c:v>
                </c:pt>
                <c:pt idx="754">
                  <c:v>6804850</c:v>
                </c:pt>
                <c:pt idx="755">
                  <c:v>6813875</c:v>
                </c:pt>
                <c:pt idx="756">
                  <c:v>6822900</c:v>
                </c:pt>
                <c:pt idx="757">
                  <c:v>6831925</c:v>
                </c:pt>
                <c:pt idx="758">
                  <c:v>6840950</c:v>
                </c:pt>
                <c:pt idx="759">
                  <c:v>6849975</c:v>
                </c:pt>
                <c:pt idx="760">
                  <c:v>6859000</c:v>
                </c:pt>
                <c:pt idx="761">
                  <c:v>6868025</c:v>
                </c:pt>
                <c:pt idx="762">
                  <c:v>6877050</c:v>
                </c:pt>
                <c:pt idx="763">
                  <c:v>6886075</c:v>
                </c:pt>
                <c:pt idx="764">
                  <c:v>6895100</c:v>
                </c:pt>
                <c:pt idx="765">
                  <c:v>6904125</c:v>
                </c:pt>
                <c:pt idx="766">
                  <c:v>6913150</c:v>
                </c:pt>
                <c:pt idx="767">
                  <c:v>6922175</c:v>
                </c:pt>
                <c:pt idx="768">
                  <c:v>6931200</c:v>
                </c:pt>
                <c:pt idx="769">
                  <c:v>6940225</c:v>
                </c:pt>
                <c:pt idx="770">
                  <c:v>6949250</c:v>
                </c:pt>
                <c:pt idx="771">
                  <c:v>6958275</c:v>
                </c:pt>
                <c:pt idx="772">
                  <c:v>6967300</c:v>
                </c:pt>
                <c:pt idx="773">
                  <c:v>6976325</c:v>
                </c:pt>
                <c:pt idx="774">
                  <c:v>6985350</c:v>
                </c:pt>
                <c:pt idx="775">
                  <c:v>6994375</c:v>
                </c:pt>
                <c:pt idx="776">
                  <c:v>7003400</c:v>
                </c:pt>
                <c:pt idx="777">
                  <c:v>7012425</c:v>
                </c:pt>
                <c:pt idx="778">
                  <c:v>7021450</c:v>
                </c:pt>
                <c:pt idx="779">
                  <c:v>7030475</c:v>
                </c:pt>
                <c:pt idx="780">
                  <c:v>7039500</c:v>
                </c:pt>
                <c:pt idx="781">
                  <c:v>7048525</c:v>
                </c:pt>
                <c:pt idx="782">
                  <c:v>7057550</c:v>
                </c:pt>
                <c:pt idx="783">
                  <c:v>7066575</c:v>
                </c:pt>
                <c:pt idx="784">
                  <c:v>7075600</c:v>
                </c:pt>
                <c:pt idx="785">
                  <c:v>7084625</c:v>
                </c:pt>
                <c:pt idx="786">
                  <c:v>7093650</c:v>
                </c:pt>
                <c:pt idx="787">
                  <c:v>7102675</c:v>
                </c:pt>
                <c:pt idx="788">
                  <c:v>7111700</c:v>
                </c:pt>
                <c:pt idx="789">
                  <c:v>7120725</c:v>
                </c:pt>
                <c:pt idx="790">
                  <c:v>7129750</c:v>
                </c:pt>
                <c:pt idx="791">
                  <c:v>7138775</c:v>
                </c:pt>
                <c:pt idx="792">
                  <c:v>7147800</c:v>
                </c:pt>
                <c:pt idx="793">
                  <c:v>7156825</c:v>
                </c:pt>
                <c:pt idx="794">
                  <c:v>7165850</c:v>
                </c:pt>
                <c:pt idx="795">
                  <c:v>7174875</c:v>
                </c:pt>
                <c:pt idx="796">
                  <c:v>7183900</c:v>
                </c:pt>
                <c:pt idx="797">
                  <c:v>7192925</c:v>
                </c:pt>
                <c:pt idx="798">
                  <c:v>7201950</c:v>
                </c:pt>
                <c:pt idx="799">
                  <c:v>7210975</c:v>
                </c:pt>
                <c:pt idx="800">
                  <c:v>7220000</c:v>
                </c:pt>
                <c:pt idx="801">
                  <c:v>7229025</c:v>
                </c:pt>
                <c:pt idx="802">
                  <c:v>7238050</c:v>
                </c:pt>
                <c:pt idx="803">
                  <c:v>7247075</c:v>
                </c:pt>
                <c:pt idx="804">
                  <c:v>7256100</c:v>
                </c:pt>
                <c:pt idx="805">
                  <c:v>7265125.0000000009</c:v>
                </c:pt>
                <c:pt idx="806">
                  <c:v>7274150.0000000009</c:v>
                </c:pt>
                <c:pt idx="807">
                  <c:v>7283175.0000000009</c:v>
                </c:pt>
                <c:pt idx="808">
                  <c:v>7292200.0000000009</c:v>
                </c:pt>
                <c:pt idx="809">
                  <c:v>7301225.0000000009</c:v>
                </c:pt>
                <c:pt idx="810">
                  <c:v>7310250.0000000009</c:v>
                </c:pt>
                <c:pt idx="811">
                  <c:v>7319275.0000000009</c:v>
                </c:pt>
                <c:pt idx="812">
                  <c:v>7328300.0000000009</c:v>
                </c:pt>
                <c:pt idx="813">
                  <c:v>7337324.9999999991</c:v>
                </c:pt>
                <c:pt idx="814">
                  <c:v>7346349.9999999991</c:v>
                </c:pt>
                <c:pt idx="815">
                  <c:v>7355374.9999999991</c:v>
                </c:pt>
                <c:pt idx="816">
                  <c:v>7364399.9999999991</c:v>
                </c:pt>
                <c:pt idx="817">
                  <c:v>7373424.9999999991</c:v>
                </c:pt>
                <c:pt idx="818">
                  <c:v>7382449.9999999991</c:v>
                </c:pt>
                <c:pt idx="819">
                  <c:v>7391474.9999999991</c:v>
                </c:pt>
                <c:pt idx="820">
                  <c:v>7400499.9999999991</c:v>
                </c:pt>
                <c:pt idx="821">
                  <c:v>7409525</c:v>
                </c:pt>
                <c:pt idx="822">
                  <c:v>7418550</c:v>
                </c:pt>
                <c:pt idx="823">
                  <c:v>7427575</c:v>
                </c:pt>
                <c:pt idx="824">
                  <c:v>7436600</c:v>
                </c:pt>
                <c:pt idx="825">
                  <c:v>7445625</c:v>
                </c:pt>
                <c:pt idx="826">
                  <c:v>7454650</c:v>
                </c:pt>
                <c:pt idx="827">
                  <c:v>7463675</c:v>
                </c:pt>
                <c:pt idx="828">
                  <c:v>7472700</c:v>
                </c:pt>
                <c:pt idx="829">
                  <c:v>7481725</c:v>
                </c:pt>
                <c:pt idx="830">
                  <c:v>7490750</c:v>
                </c:pt>
                <c:pt idx="831">
                  <c:v>7499775</c:v>
                </c:pt>
                <c:pt idx="832">
                  <c:v>7508800</c:v>
                </c:pt>
                <c:pt idx="833">
                  <c:v>7517825</c:v>
                </c:pt>
                <c:pt idx="834">
                  <c:v>7526850</c:v>
                </c:pt>
                <c:pt idx="835">
                  <c:v>7535875</c:v>
                </c:pt>
                <c:pt idx="836">
                  <c:v>7544900</c:v>
                </c:pt>
                <c:pt idx="837">
                  <c:v>7553925</c:v>
                </c:pt>
                <c:pt idx="838">
                  <c:v>7562950</c:v>
                </c:pt>
                <c:pt idx="839">
                  <c:v>7571975</c:v>
                </c:pt>
                <c:pt idx="840">
                  <c:v>7581000</c:v>
                </c:pt>
                <c:pt idx="841">
                  <c:v>7590025</c:v>
                </c:pt>
                <c:pt idx="842">
                  <c:v>7599050</c:v>
                </c:pt>
                <c:pt idx="843">
                  <c:v>7608075</c:v>
                </c:pt>
                <c:pt idx="844">
                  <c:v>7617100</c:v>
                </c:pt>
                <c:pt idx="845">
                  <c:v>7626125</c:v>
                </c:pt>
                <c:pt idx="846">
                  <c:v>7635150</c:v>
                </c:pt>
                <c:pt idx="847">
                  <c:v>7644175</c:v>
                </c:pt>
                <c:pt idx="848">
                  <c:v>7653200</c:v>
                </c:pt>
                <c:pt idx="849">
                  <c:v>7662225</c:v>
                </c:pt>
                <c:pt idx="850">
                  <c:v>7671250</c:v>
                </c:pt>
                <c:pt idx="851">
                  <c:v>7680275</c:v>
                </c:pt>
                <c:pt idx="852">
                  <c:v>7689300</c:v>
                </c:pt>
                <c:pt idx="853">
                  <c:v>7698325</c:v>
                </c:pt>
                <c:pt idx="854">
                  <c:v>7707350</c:v>
                </c:pt>
                <c:pt idx="855">
                  <c:v>7716375</c:v>
                </c:pt>
                <c:pt idx="856">
                  <c:v>7725400</c:v>
                </c:pt>
                <c:pt idx="857">
                  <c:v>7734425</c:v>
                </c:pt>
                <c:pt idx="858">
                  <c:v>7743450</c:v>
                </c:pt>
                <c:pt idx="859">
                  <c:v>7752475</c:v>
                </c:pt>
                <c:pt idx="860">
                  <c:v>7761500</c:v>
                </c:pt>
                <c:pt idx="861">
                  <c:v>7770525</c:v>
                </c:pt>
                <c:pt idx="862">
                  <c:v>7779550</c:v>
                </c:pt>
                <c:pt idx="863">
                  <c:v>7788575</c:v>
                </c:pt>
                <c:pt idx="864">
                  <c:v>7797600</c:v>
                </c:pt>
                <c:pt idx="865">
                  <c:v>7806625</c:v>
                </c:pt>
                <c:pt idx="866">
                  <c:v>7815650</c:v>
                </c:pt>
                <c:pt idx="867">
                  <c:v>7824675</c:v>
                </c:pt>
                <c:pt idx="868">
                  <c:v>7833700</c:v>
                </c:pt>
                <c:pt idx="869">
                  <c:v>7842725</c:v>
                </c:pt>
                <c:pt idx="870">
                  <c:v>7851750</c:v>
                </c:pt>
                <c:pt idx="871">
                  <c:v>7860775</c:v>
                </c:pt>
                <c:pt idx="872">
                  <c:v>7869800</c:v>
                </c:pt>
                <c:pt idx="873">
                  <c:v>7878825</c:v>
                </c:pt>
                <c:pt idx="874">
                  <c:v>7887850</c:v>
                </c:pt>
                <c:pt idx="875">
                  <c:v>7896875</c:v>
                </c:pt>
                <c:pt idx="876">
                  <c:v>7905900</c:v>
                </c:pt>
                <c:pt idx="877">
                  <c:v>7914925</c:v>
                </c:pt>
                <c:pt idx="878">
                  <c:v>7923950</c:v>
                </c:pt>
                <c:pt idx="879">
                  <c:v>7932975</c:v>
                </c:pt>
                <c:pt idx="880">
                  <c:v>7942000</c:v>
                </c:pt>
                <c:pt idx="881">
                  <c:v>7951025</c:v>
                </c:pt>
                <c:pt idx="882">
                  <c:v>7960050</c:v>
                </c:pt>
                <c:pt idx="883">
                  <c:v>7969075</c:v>
                </c:pt>
                <c:pt idx="884">
                  <c:v>7978100</c:v>
                </c:pt>
                <c:pt idx="885">
                  <c:v>7987125</c:v>
                </c:pt>
                <c:pt idx="886">
                  <c:v>7996150</c:v>
                </c:pt>
                <c:pt idx="887">
                  <c:v>8005175</c:v>
                </c:pt>
                <c:pt idx="888">
                  <c:v>8014200</c:v>
                </c:pt>
                <c:pt idx="889">
                  <c:v>8023225</c:v>
                </c:pt>
                <c:pt idx="890">
                  <c:v>8032250</c:v>
                </c:pt>
                <c:pt idx="891">
                  <c:v>8041275</c:v>
                </c:pt>
                <c:pt idx="892">
                  <c:v>8050300</c:v>
                </c:pt>
                <c:pt idx="893">
                  <c:v>8059325</c:v>
                </c:pt>
                <c:pt idx="894">
                  <c:v>8068350</c:v>
                </c:pt>
                <c:pt idx="895">
                  <c:v>8077375</c:v>
                </c:pt>
                <c:pt idx="896">
                  <c:v>8086400</c:v>
                </c:pt>
                <c:pt idx="897">
                  <c:v>8095425</c:v>
                </c:pt>
                <c:pt idx="898">
                  <c:v>8104450</c:v>
                </c:pt>
                <c:pt idx="899">
                  <c:v>8113475</c:v>
                </c:pt>
                <c:pt idx="900">
                  <c:v>8122500</c:v>
                </c:pt>
                <c:pt idx="901">
                  <c:v>8131525</c:v>
                </c:pt>
                <c:pt idx="902">
                  <c:v>8140550</c:v>
                </c:pt>
                <c:pt idx="903">
                  <c:v>8149575</c:v>
                </c:pt>
                <c:pt idx="904">
                  <c:v>8158600</c:v>
                </c:pt>
                <c:pt idx="905">
                  <c:v>8167625</c:v>
                </c:pt>
                <c:pt idx="906">
                  <c:v>8176650</c:v>
                </c:pt>
                <c:pt idx="907">
                  <c:v>8185675</c:v>
                </c:pt>
                <c:pt idx="908">
                  <c:v>8194700</c:v>
                </c:pt>
                <c:pt idx="909">
                  <c:v>8203725</c:v>
                </c:pt>
                <c:pt idx="910">
                  <c:v>8212750</c:v>
                </c:pt>
                <c:pt idx="911">
                  <c:v>8221775</c:v>
                </c:pt>
                <c:pt idx="912">
                  <c:v>8230800</c:v>
                </c:pt>
                <c:pt idx="913">
                  <c:v>8239825</c:v>
                </c:pt>
                <c:pt idx="914">
                  <c:v>8248850</c:v>
                </c:pt>
                <c:pt idx="915">
                  <c:v>8257875</c:v>
                </c:pt>
                <c:pt idx="916">
                  <c:v>8266900</c:v>
                </c:pt>
                <c:pt idx="917">
                  <c:v>8275925</c:v>
                </c:pt>
                <c:pt idx="918">
                  <c:v>8284950</c:v>
                </c:pt>
                <c:pt idx="919">
                  <c:v>8293975</c:v>
                </c:pt>
                <c:pt idx="920">
                  <c:v>8303000</c:v>
                </c:pt>
                <c:pt idx="921">
                  <c:v>8312025</c:v>
                </c:pt>
                <c:pt idx="922">
                  <c:v>8321050</c:v>
                </c:pt>
                <c:pt idx="923">
                  <c:v>8330075</c:v>
                </c:pt>
                <c:pt idx="924">
                  <c:v>8339100</c:v>
                </c:pt>
                <c:pt idx="925">
                  <c:v>8348125</c:v>
                </c:pt>
                <c:pt idx="926">
                  <c:v>8357150</c:v>
                </c:pt>
                <c:pt idx="927">
                  <c:v>8366175</c:v>
                </c:pt>
                <c:pt idx="928">
                  <c:v>8375200</c:v>
                </c:pt>
                <c:pt idx="929">
                  <c:v>8384225</c:v>
                </c:pt>
                <c:pt idx="930">
                  <c:v>8393250</c:v>
                </c:pt>
                <c:pt idx="931">
                  <c:v>8402275</c:v>
                </c:pt>
                <c:pt idx="932">
                  <c:v>8411300</c:v>
                </c:pt>
                <c:pt idx="933">
                  <c:v>8420325</c:v>
                </c:pt>
                <c:pt idx="934">
                  <c:v>8429350</c:v>
                </c:pt>
                <c:pt idx="935">
                  <c:v>8438375</c:v>
                </c:pt>
                <c:pt idx="936">
                  <c:v>8447400</c:v>
                </c:pt>
                <c:pt idx="937">
                  <c:v>8456425</c:v>
                </c:pt>
                <c:pt idx="938">
                  <c:v>8465450</c:v>
                </c:pt>
                <c:pt idx="939">
                  <c:v>8474475</c:v>
                </c:pt>
                <c:pt idx="940">
                  <c:v>8483500</c:v>
                </c:pt>
                <c:pt idx="941">
                  <c:v>8492525</c:v>
                </c:pt>
                <c:pt idx="942">
                  <c:v>8501550</c:v>
                </c:pt>
                <c:pt idx="943">
                  <c:v>8510575</c:v>
                </c:pt>
                <c:pt idx="944">
                  <c:v>8519600</c:v>
                </c:pt>
                <c:pt idx="945">
                  <c:v>8528625</c:v>
                </c:pt>
                <c:pt idx="946">
                  <c:v>8537650</c:v>
                </c:pt>
                <c:pt idx="947">
                  <c:v>8546675</c:v>
                </c:pt>
                <c:pt idx="948">
                  <c:v>8555700</c:v>
                </c:pt>
                <c:pt idx="949">
                  <c:v>8564725</c:v>
                </c:pt>
                <c:pt idx="950">
                  <c:v>8573750</c:v>
                </c:pt>
                <c:pt idx="951">
                  <c:v>8582775</c:v>
                </c:pt>
                <c:pt idx="952">
                  <c:v>8591800</c:v>
                </c:pt>
                <c:pt idx="953">
                  <c:v>8600825</c:v>
                </c:pt>
                <c:pt idx="954">
                  <c:v>8609850</c:v>
                </c:pt>
                <c:pt idx="955">
                  <c:v>8618875</c:v>
                </c:pt>
                <c:pt idx="956">
                  <c:v>8627900</c:v>
                </c:pt>
                <c:pt idx="957">
                  <c:v>8636925</c:v>
                </c:pt>
                <c:pt idx="958">
                  <c:v>8645950</c:v>
                </c:pt>
                <c:pt idx="959">
                  <c:v>8654975</c:v>
                </c:pt>
                <c:pt idx="960">
                  <c:v>8664000</c:v>
                </c:pt>
                <c:pt idx="961">
                  <c:v>8673025</c:v>
                </c:pt>
                <c:pt idx="962">
                  <c:v>8682050</c:v>
                </c:pt>
                <c:pt idx="963">
                  <c:v>8691075</c:v>
                </c:pt>
                <c:pt idx="964">
                  <c:v>8700100</c:v>
                </c:pt>
                <c:pt idx="965">
                  <c:v>8709125</c:v>
                </c:pt>
                <c:pt idx="966">
                  <c:v>8718150</c:v>
                </c:pt>
                <c:pt idx="967">
                  <c:v>8727175</c:v>
                </c:pt>
                <c:pt idx="968">
                  <c:v>8736200</c:v>
                </c:pt>
                <c:pt idx="969">
                  <c:v>8745225</c:v>
                </c:pt>
                <c:pt idx="970">
                  <c:v>8754250</c:v>
                </c:pt>
                <c:pt idx="971">
                  <c:v>8763275</c:v>
                </c:pt>
                <c:pt idx="972">
                  <c:v>8772300</c:v>
                </c:pt>
                <c:pt idx="973">
                  <c:v>8781325</c:v>
                </c:pt>
                <c:pt idx="974">
                  <c:v>8790350</c:v>
                </c:pt>
                <c:pt idx="975">
                  <c:v>8799375</c:v>
                </c:pt>
                <c:pt idx="976">
                  <c:v>8808400</c:v>
                </c:pt>
                <c:pt idx="977">
                  <c:v>8817425</c:v>
                </c:pt>
                <c:pt idx="978">
                  <c:v>8826450</c:v>
                </c:pt>
                <c:pt idx="979">
                  <c:v>8835475</c:v>
                </c:pt>
                <c:pt idx="980">
                  <c:v>8844500</c:v>
                </c:pt>
                <c:pt idx="981">
                  <c:v>8853525</c:v>
                </c:pt>
                <c:pt idx="982">
                  <c:v>8862550</c:v>
                </c:pt>
                <c:pt idx="983">
                  <c:v>8871575</c:v>
                </c:pt>
                <c:pt idx="984">
                  <c:v>8880600</c:v>
                </c:pt>
                <c:pt idx="985">
                  <c:v>8889625</c:v>
                </c:pt>
                <c:pt idx="986">
                  <c:v>8898650</c:v>
                </c:pt>
                <c:pt idx="987">
                  <c:v>8907675</c:v>
                </c:pt>
                <c:pt idx="988">
                  <c:v>8916700</c:v>
                </c:pt>
                <c:pt idx="989">
                  <c:v>8925725</c:v>
                </c:pt>
                <c:pt idx="990">
                  <c:v>8934750</c:v>
                </c:pt>
                <c:pt idx="991">
                  <c:v>8943775</c:v>
                </c:pt>
                <c:pt idx="992">
                  <c:v>8952800</c:v>
                </c:pt>
                <c:pt idx="993">
                  <c:v>8961825</c:v>
                </c:pt>
                <c:pt idx="994">
                  <c:v>8970850</c:v>
                </c:pt>
                <c:pt idx="995">
                  <c:v>8979875</c:v>
                </c:pt>
                <c:pt idx="996">
                  <c:v>8988900</c:v>
                </c:pt>
                <c:pt idx="997">
                  <c:v>8997925</c:v>
                </c:pt>
                <c:pt idx="998">
                  <c:v>9006950</c:v>
                </c:pt>
                <c:pt idx="999">
                  <c:v>9015975</c:v>
                </c:pt>
                <c:pt idx="1000">
                  <c:v>9025000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2C7-47F8-8E4D-DC333C37C8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3341184"/>
        <c:axId val="391462120"/>
      </c:lineChart>
      <c:catAx>
        <c:axId val="243341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462120"/>
        <c:crosses val="autoZero"/>
        <c:auto val="1"/>
        <c:lblAlgn val="ctr"/>
        <c:lblOffset val="100"/>
        <c:noMultiLvlLbl val="0"/>
      </c:catAx>
      <c:valAx>
        <c:axId val="391462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\ [$zł-415]_-;\-* #,##0.00\ [$zł-415]_-;_-* &quot;-&quot;??\ [$zł-415]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341184"/>
        <c:crosses val="autoZero"/>
        <c:crossBetween val="between"/>
        <c:majorUnit val="50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'Lab5'!$U$7:$U$106</c:f>
              <c:numCache>
                <c:formatCode>General</c:formatCode>
                <c:ptCount val="100"/>
                <c:pt idx="0">
                  <c:v>21.81818181818182</c:v>
                </c:pt>
                <c:pt idx="1">
                  <c:v>29.057851239669432</c:v>
                </c:pt>
                <c:pt idx="2">
                  <c:v>35.718707738542456</c:v>
                </c:pt>
                <c:pt idx="3">
                  <c:v>41.84537121781301</c:v>
                </c:pt>
                <c:pt idx="4">
                  <c:v>46.730264375880942</c:v>
                </c:pt>
                <c:pt idx="5">
                  <c:v>51.95252877208295</c:v>
                </c:pt>
                <c:pt idx="6">
                  <c:v>55.743947875943626</c:v>
                </c:pt>
                <c:pt idx="7">
                  <c:v>60.187669886271543</c:v>
                </c:pt>
                <c:pt idx="8">
                  <c:v>63.454777835596232</c:v>
                </c:pt>
                <c:pt idx="9">
                  <c:v>66.970064865207789</c:v>
                </c:pt>
                <c:pt idx="10">
                  <c:v>69.772009984345445</c:v>
                </c:pt>
                <c:pt idx="11">
                  <c:v>72.582347570261263</c:v>
                </c:pt>
                <c:pt idx="12">
                  <c:v>74.973729329065293</c:v>
                </c:pt>
                <c:pt idx="13">
                  <c:v>77.236854156210498</c:v>
                </c:pt>
                <c:pt idx="14">
                  <c:v>79.269353645824964</c:v>
                </c:pt>
                <c:pt idx="15">
                  <c:v>81.101254636662517</c:v>
                </c:pt>
                <c:pt idx="16">
                  <c:v>82.822714439610678</c:v>
                </c:pt>
                <c:pt idx="17">
                  <c:v>84.311254254416255</c:v>
                </c:pt>
                <c:pt idx="18">
                  <c:v>85.765018478523572</c:v>
                </c:pt>
                <c:pt idx="19">
                  <c:v>86.989636683812009</c:v>
                </c:pt>
                <c:pt idx="20">
                  <c:v>88.202787380490264</c:v>
                </c:pt>
                <c:pt idx="21">
                  <c:v>89.231854288253473</c:v>
                </c:pt>
                <c:pt idx="22">
                  <c:v>90.22321539633792</c:v>
                </c:pt>
                <c:pt idx="23">
                  <c:v>91.086725666950116</c:v>
                </c:pt>
                <c:pt idx="24">
                  <c:v>91.898039966284642</c:v>
                </c:pt>
                <c:pt idx="25">
                  <c:v>92.621680705370437</c:v>
                </c:pt>
                <c:pt idx="26">
                  <c:v>93.286471125619229</c:v>
                </c:pt>
                <c:pt idx="27">
                  <c:v>93.89217647202662</c:v>
                </c:pt>
                <c:pt idx="28">
                  <c:v>94.437478894158403</c:v>
                </c:pt>
                <c:pt idx="29">
                  <c:v>94.943922746136877</c:v>
                </c:pt>
                <c:pt idx="30">
                  <c:v>95.39161681373983</c:v>
                </c:pt>
                <c:pt idx="31">
                  <c:v>95.814652784539803</c:v>
                </c:pt>
                <c:pt idx="32">
                  <c:v>96.185682239010873</c:v>
                </c:pt>
                <c:pt idx="33">
                  <c:v>96.535548678464437</c:v>
                </c:pt>
                <c:pt idx="34">
                  <c:v>96.844592897537993</c:v>
                </c:pt>
                <c:pt idx="35">
                  <c:v>97.132398172636755</c:v>
                </c:pt>
                <c:pt idx="36">
                  <c:v>97.389679760755129</c:v>
                </c:pt>
                <c:pt idx="37">
                  <c:v>97.626539082981779</c:v>
                </c:pt>
                <c:pt idx="38">
                  <c:v>97.84062367236811</c:v>
                </c:pt>
                <c:pt idx="39">
                  <c:v>98.035633576231675</c:v>
                </c:pt>
                <c:pt idx="40">
                  <c:v>98.213692472149177</c:v>
                </c:pt>
                <c:pt idx="41">
                  <c:v>98.374304898426246</c:v>
                </c:pt>
                <c:pt idx="42">
                  <c:v>98.522337113207016</c:v>
                </c:pt>
                <c:pt idx="43">
                  <c:v>98.65466214283407</c:v>
                </c:pt>
                <c:pt idx="44">
                  <c:v>98.77768202970158</c:v>
                </c:pt>
                <c:pt idx="45">
                  <c:v>98.8874474755156</c:v>
                </c:pt>
                <c:pt idx="46">
                  <c:v>98.988929117559707</c:v>
                </c:pt>
                <c:pt idx="47">
                  <c:v>99.080007230161925</c:v>
                </c:pt>
                <c:pt idx="48">
                  <c:v>99.163690927476651</c:v>
                </c:pt>
                <c:pt idx="49">
                  <c:v>99.239246288774282</c:v>
                </c:pt>
                <c:pt idx="50">
                  <c:v>99.308265714759727</c:v>
                </c:pt>
                <c:pt idx="51">
                  <c:v>99.370930524458871</c:v>
                </c:pt>
                <c:pt idx="52">
                  <c:v>99.42786464441366</c:v>
                </c:pt>
                <c:pt idx="53">
                  <c:v>99.479827584525523</c:v>
                </c:pt>
                <c:pt idx="54">
                  <c:v>99.526799570140241</c:v>
                </c:pt>
                <c:pt idx="55">
                  <c:v>99.569879960816777</c:v>
                </c:pt>
                <c:pt idx="56">
                  <c:v>99.608673938857606</c:v>
                </c:pt>
                <c:pt idx="57">
                  <c:v>99.644347954487031</c:v>
                </c:pt>
                <c:pt idx="58">
                  <c:v>99.676480921749047</c:v>
                </c:pt>
                <c:pt idx="59">
                  <c:v>99.705927807508999</c:v>
                </c:pt>
                <c:pt idx="60">
                  <c:v>99.732540525756463</c:v>
                </c:pt>
                <c:pt idx="61">
                  <c:v>99.756849337746246</c:v>
                </c:pt>
                <c:pt idx="62">
                  <c:v>99.77888779532563</c:v>
                </c:pt>
                <c:pt idx="63">
                  <c:v>99.798956649023282</c:v>
                </c:pt>
                <c:pt idx="64">
                  <c:v>99.817205202831289</c:v>
                </c:pt>
                <c:pt idx="65">
                  <c:v>99.833774859990399</c:v>
                </c:pt>
                <c:pt idx="66">
                  <c:v>99.848883757810938</c:v>
                </c:pt>
                <c:pt idx="67">
                  <c:v>99.862565280049722</c:v>
                </c:pt>
                <c:pt idx="68">
                  <c:v>99.875073513530879</c:v>
                </c:pt>
                <c:pt idx="69">
                  <c:v>99.886384037261791</c:v>
                </c:pt>
                <c:pt idx="70">
                  <c:v>99.896725314398239</c:v>
                </c:pt>
                <c:pt idx="71">
                  <c:v>99.906084257276433</c:v>
                </c:pt>
                <c:pt idx="72">
                  <c:v>99.914625305897601</c:v>
                </c:pt>
                <c:pt idx="73">
                  <c:v>99.922368970574567</c:v>
                </c:pt>
                <c:pt idx="74">
                  <c:v>99.929423463496235</c:v>
                </c:pt>
                <c:pt idx="75">
                  <c:v>99.935830286335019</c:v>
                </c:pt>
                <c:pt idx="76">
                  <c:v>99.941657178242636</c:v>
                </c:pt>
                <c:pt idx="77">
                  <c:v>99.946957669542854</c:v>
                </c:pt>
                <c:pt idx="78">
                  <c:v>99.95177075633211</c:v>
                </c:pt>
                <c:pt idx="79">
                  <c:v>99.956155736012562</c:v>
                </c:pt>
                <c:pt idx="80">
                  <c:v>99.960131540975141</c:v>
                </c:pt>
                <c:pt idx="81">
                  <c:v>99.963758961543405</c:v>
                </c:pt>
                <c:pt idx="82">
                  <c:v>99.967046525889941</c:v>
                </c:pt>
                <c:pt idx="83">
                  <c:v>99.970043840654697</c:v>
                </c:pt>
                <c:pt idx="84">
                  <c:v>99.972762674155177</c:v>
                </c:pt>
                <c:pt idx="85">
                  <c:v>99.975238937327148</c:v>
                </c:pt>
                <c:pt idx="86">
                  <c:v>99.977487361049512</c:v>
                </c:pt>
                <c:pt idx="87">
                  <c:v>99.979533193357824</c:v>
                </c:pt>
                <c:pt idx="88">
                  <c:v>99.981392543961348</c:v>
                </c:pt>
                <c:pt idx="89">
                  <c:v>99.983082796472885</c:v>
                </c:pt>
                <c:pt idx="90">
                  <c:v>99.984620357636743</c:v>
                </c:pt>
                <c:pt idx="91">
                  <c:v>99.986016857915985</c:v>
                </c:pt>
                <c:pt idx="92">
                  <c:v>99.987288286282137</c:v>
                </c:pt>
                <c:pt idx="93">
                  <c:v>99.988442238095743</c:v>
                </c:pt>
                <c:pt idx="94">
                  <c:v>99.989493438625288</c:v>
                </c:pt>
                <c:pt idx="95">
                  <c:v>99.990447495862597</c:v>
                </c:pt>
                <c:pt idx="96">
                  <c:v>99.991316081543644</c:v>
                </c:pt>
                <c:pt idx="97">
                  <c:v>99.992104858242911</c:v>
                </c:pt>
                <c:pt idx="98">
                  <c:v>99.992822560864255</c:v>
                </c:pt>
                <c:pt idx="99">
                  <c:v>99.993474679785592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03-4F03-A7CA-A472AD24D4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7785744"/>
        <c:axId val="587787056"/>
      </c:lineChart>
      <c:catAx>
        <c:axId val="587785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787056"/>
        <c:crosses val="autoZero"/>
        <c:auto val="1"/>
        <c:lblAlgn val="ctr"/>
        <c:lblOffset val="100"/>
        <c:noMultiLvlLbl val="0"/>
      </c:catAx>
      <c:valAx>
        <c:axId val="587787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785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43</xdr:row>
      <xdr:rowOff>100012</xdr:rowOff>
    </xdr:from>
    <xdr:to>
      <xdr:col>5</xdr:col>
      <xdr:colOff>476250</xdr:colOff>
      <xdr:row>57</xdr:row>
      <xdr:rowOff>176212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EB5D95FE-51C8-4B62-B7A1-FB9A96682C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371475</xdr:colOff>
      <xdr:row>3</xdr:row>
      <xdr:rowOff>133350</xdr:rowOff>
    </xdr:from>
    <xdr:to>
      <xdr:col>20</xdr:col>
      <xdr:colOff>66675</xdr:colOff>
      <xdr:row>16</xdr:row>
      <xdr:rowOff>19050</xdr:rowOff>
    </xdr:to>
    <xdr:graphicFrame macro="">
      <xdr:nvGraphicFramePr>
        <xdr:cNvPr id="7" name="Wykres 6">
          <a:extLst>
            <a:ext uri="{FF2B5EF4-FFF2-40B4-BE49-F238E27FC236}">
              <a16:creationId xmlns:a16="http://schemas.microsoft.com/office/drawing/2014/main" id="{9CDBD8D2-5094-4F30-9506-50D0087FDF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266702</xdr:colOff>
      <xdr:row>0</xdr:row>
      <xdr:rowOff>180975</xdr:rowOff>
    </xdr:from>
    <xdr:to>
      <xdr:col>20</xdr:col>
      <xdr:colOff>76200</xdr:colOff>
      <xdr:row>34</xdr:row>
      <xdr:rowOff>180974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E4C1CB25-A8D0-4BEA-BACD-13A7EAD5B7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25</xdr:row>
      <xdr:rowOff>52387</xdr:rowOff>
    </xdr:from>
    <xdr:to>
      <xdr:col>11</xdr:col>
      <xdr:colOff>323850</xdr:colOff>
      <xdr:row>39</xdr:row>
      <xdr:rowOff>128587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849A7F5F-3A1C-4482-90EF-30367CD3A1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Pakiet 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Pakiet 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Pakiet 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D7B138-3CEF-44DB-BA50-C508F74518B7}">
  <sheetPr codeName="Arkusz4">
    <tabColor theme="8"/>
  </sheetPr>
  <dimension ref="A1:C6"/>
  <sheetViews>
    <sheetView workbookViewId="0">
      <selection activeCell="B7" sqref="B7"/>
    </sheetView>
  </sheetViews>
  <sheetFormatPr defaultRowHeight="15" x14ac:dyDescent="0.25"/>
  <sheetData>
    <row r="1" spans="1:3" x14ac:dyDescent="0.25">
      <c r="C1">
        <f>SUM(C2:C15)</f>
        <v>14</v>
      </c>
    </row>
    <row r="2" spans="1:3" x14ac:dyDescent="0.25">
      <c r="A2" t="s">
        <v>32</v>
      </c>
      <c r="B2" s="7" t="s">
        <v>34</v>
      </c>
      <c r="C2">
        <f>LEN(B2)</f>
        <v>3</v>
      </c>
    </row>
    <row r="3" spans="1:3" x14ac:dyDescent="0.25">
      <c r="A3" t="s">
        <v>33</v>
      </c>
      <c r="B3" s="7" t="s">
        <v>47</v>
      </c>
      <c r="C3">
        <f t="shared" ref="C3:C6" si="0">LEN(B3)</f>
        <v>2</v>
      </c>
    </row>
    <row r="4" spans="1:3" x14ac:dyDescent="0.25">
      <c r="A4" t="s">
        <v>82</v>
      </c>
      <c r="B4" s="7" t="s">
        <v>83</v>
      </c>
      <c r="C4">
        <f t="shared" si="0"/>
        <v>4</v>
      </c>
    </row>
    <row r="5" spans="1:3" x14ac:dyDescent="0.25">
      <c r="A5" t="s">
        <v>92</v>
      </c>
      <c r="B5" s="7" t="s">
        <v>34</v>
      </c>
      <c r="C5">
        <f t="shared" si="0"/>
        <v>3</v>
      </c>
    </row>
    <row r="6" spans="1:3" x14ac:dyDescent="0.25">
      <c r="A6" t="s">
        <v>106</v>
      </c>
      <c r="B6" s="7" t="s">
        <v>47</v>
      </c>
      <c r="C6">
        <f t="shared" si="0"/>
        <v>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F8A54-15C5-4F33-8DCC-520613E40FD6}">
  <sheetPr codeName="Arkusz1">
    <tabColor theme="9"/>
  </sheetPr>
  <dimension ref="A1:P29"/>
  <sheetViews>
    <sheetView workbookViewId="0">
      <selection activeCell="H29" sqref="H29"/>
    </sheetView>
  </sheetViews>
  <sheetFormatPr defaultRowHeight="15" x14ac:dyDescent="0.25"/>
  <cols>
    <col min="1" max="1" width="9.85546875" bestFit="1" customWidth="1"/>
    <col min="6" max="6" width="11.42578125" bestFit="1" customWidth="1"/>
    <col min="8" max="8" width="14" bestFit="1" customWidth="1"/>
    <col min="9" max="9" width="10.28515625" bestFit="1" customWidth="1"/>
    <col min="10" max="10" width="13.85546875" customWidth="1"/>
    <col min="12" max="12" width="10.28515625" bestFit="1" customWidth="1"/>
    <col min="13" max="14" width="9.7109375" bestFit="1" customWidth="1"/>
    <col min="15" max="15" width="13.42578125" bestFit="1" customWidth="1"/>
    <col min="16" max="16" width="36.28515625" bestFit="1" customWidth="1"/>
  </cols>
  <sheetData>
    <row r="1" spans="1:16" x14ac:dyDescent="0.25">
      <c r="A1" t="s">
        <v>0</v>
      </c>
    </row>
    <row r="2" spans="1:16" x14ac:dyDescent="0.25">
      <c r="A2">
        <f>600*(216/365*9%)</f>
        <v>31.956164383561642</v>
      </c>
      <c r="B2" t="s">
        <v>1</v>
      </c>
      <c r="D2" t="s">
        <v>2</v>
      </c>
      <c r="F2">
        <v>600</v>
      </c>
      <c r="H2" t="s">
        <v>5</v>
      </c>
      <c r="I2">
        <v>0</v>
      </c>
      <c r="J2" s="2">
        <f>ACCRINTM(0,216,9%,600,I2)</f>
        <v>31.95</v>
      </c>
    </row>
    <row r="3" spans="1:16" x14ac:dyDescent="0.25">
      <c r="D3" t="s">
        <v>3</v>
      </c>
      <c r="F3">
        <f>216/365</f>
        <v>0.59178082191780823</v>
      </c>
      <c r="H3" t="s">
        <v>6</v>
      </c>
      <c r="I3">
        <v>1</v>
      </c>
      <c r="J3" s="2">
        <f t="shared" ref="J3:J6" si="0">ACCRINTM(0,216,9%,600,I3)</f>
        <v>31.956164383561646</v>
      </c>
    </row>
    <row r="4" spans="1:16" x14ac:dyDescent="0.25">
      <c r="D4" t="s">
        <v>4</v>
      </c>
      <c r="F4" s="1">
        <v>0.09</v>
      </c>
      <c r="I4">
        <v>2</v>
      </c>
      <c r="J4" s="2">
        <f t="shared" si="0"/>
        <v>32.4</v>
      </c>
    </row>
    <row r="5" spans="1:16" x14ac:dyDescent="0.25">
      <c r="I5">
        <v>3</v>
      </c>
      <c r="J5" s="2">
        <f t="shared" si="0"/>
        <v>31.956164383561646</v>
      </c>
    </row>
    <row r="6" spans="1:16" x14ac:dyDescent="0.25">
      <c r="D6" s="2">
        <f>PRODUCT(F2,F3,F4)</f>
        <v>31.956164383561646</v>
      </c>
      <c r="I6">
        <v>4</v>
      </c>
      <c r="J6" s="2">
        <f t="shared" si="0"/>
        <v>31.95</v>
      </c>
    </row>
    <row r="8" spans="1:16" x14ac:dyDescent="0.25">
      <c r="B8" t="s">
        <v>7</v>
      </c>
      <c r="D8" t="s">
        <v>2</v>
      </c>
      <c r="F8">
        <v>600</v>
      </c>
      <c r="I8">
        <v>0</v>
      </c>
      <c r="J8" s="2">
        <f>ACCRINTM(0,$F$9*360,$F$10,$F$8,I8)</f>
        <v>266.10000000000002</v>
      </c>
    </row>
    <row r="9" spans="1:16" x14ac:dyDescent="0.25">
      <c r="D9" t="s">
        <v>3</v>
      </c>
      <c r="F9">
        <v>5</v>
      </c>
      <c r="I9">
        <v>1</v>
      </c>
      <c r="J9" s="2">
        <f>ACCRINTM(0,$F$9*365.25,$F$10,$F$8,I9)</f>
        <v>270</v>
      </c>
    </row>
    <row r="10" spans="1:16" x14ac:dyDescent="0.25">
      <c r="D10" t="s">
        <v>4</v>
      </c>
      <c r="F10" s="1">
        <v>0.09</v>
      </c>
      <c r="I10">
        <v>2</v>
      </c>
      <c r="J10" s="2">
        <f>ACCRINTM(0,$F$9*360,$F$10,$F$8,I10)</f>
        <v>270</v>
      </c>
    </row>
    <row r="11" spans="1:16" x14ac:dyDescent="0.25">
      <c r="I11">
        <v>3</v>
      </c>
      <c r="J11" s="2">
        <f t="shared" ref="J11" si="1">ACCRINTM(0,$F$9*365,$F$10,$F$8,I11)</f>
        <v>270</v>
      </c>
      <c r="O11" t="s">
        <v>17</v>
      </c>
    </row>
    <row r="12" spans="1:16" x14ac:dyDescent="0.25">
      <c r="D12">
        <f>PRODUCT(F8,F9,F10)</f>
        <v>270</v>
      </c>
      <c r="I12">
        <v>4</v>
      </c>
      <c r="J12" s="2">
        <f>ACCRINTM(0,$F$9*360,$F$10,$F$8,I12)</f>
        <v>266.10000000000002</v>
      </c>
    </row>
    <row r="13" spans="1:16" x14ac:dyDescent="0.25">
      <c r="O13" t="s">
        <v>18</v>
      </c>
      <c r="P13" t="s">
        <v>19</v>
      </c>
    </row>
    <row r="14" spans="1:16" x14ac:dyDescent="0.25">
      <c r="A14" t="s">
        <v>8</v>
      </c>
      <c r="I14" t="s">
        <v>13</v>
      </c>
      <c r="J14" t="s">
        <v>15</v>
      </c>
      <c r="O14" t="s">
        <v>20</v>
      </c>
      <c r="P14" t="s">
        <v>21</v>
      </c>
    </row>
    <row r="15" spans="1:16" x14ac:dyDescent="0.25">
      <c r="A15" t="s">
        <v>3</v>
      </c>
      <c r="B15">
        <v>1.5</v>
      </c>
      <c r="E15" s="3">
        <f>2/3*(B17/B16-1)</f>
        <v>8.4999999999999964E-2</v>
      </c>
      <c r="H15">
        <v>0</v>
      </c>
      <c r="I15" s="3">
        <f>INTRATE(0,18*30,$B$16,$B$17,H15)</f>
        <v>8.611632270168855E-2</v>
      </c>
      <c r="J15" s="3">
        <f>YIELDDISC(0,18*30,$B$16,$B$17,H15)</f>
        <v>8.611632270168855E-2</v>
      </c>
      <c r="L15" t="s">
        <v>13</v>
      </c>
      <c r="M15" t="s">
        <v>14</v>
      </c>
      <c r="O15">
        <v>1</v>
      </c>
      <c r="P15" t="s">
        <v>22</v>
      </c>
    </row>
    <row r="16" spans="1:16" x14ac:dyDescent="0.25">
      <c r="A16" t="s">
        <v>9</v>
      </c>
      <c r="B16">
        <v>10000</v>
      </c>
      <c r="H16">
        <v>1</v>
      </c>
      <c r="I16" s="3">
        <f t="shared" ref="I16:I19" si="2">INTRATE(0,18*30,$B$16,$B$17,H16)</f>
        <v>8.6180555555555552E-2</v>
      </c>
      <c r="J16" s="3">
        <f t="shared" ref="J16:J19" si="3">YIELDDISC(0,18*30,$B$16,$B$17,H16)</f>
        <v>8.6180555555555552E-2</v>
      </c>
      <c r="O16">
        <v>2</v>
      </c>
      <c r="P16" t="s">
        <v>23</v>
      </c>
    </row>
    <row r="17" spans="1:16" x14ac:dyDescent="0.25">
      <c r="A17" t="s">
        <v>10</v>
      </c>
      <c r="B17">
        <v>11275</v>
      </c>
      <c r="H17">
        <v>2</v>
      </c>
      <c r="I17" s="3">
        <f t="shared" si="2"/>
        <v>8.4999999999999992E-2</v>
      </c>
      <c r="J17" s="3">
        <f t="shared" si="3"/>
        <v>8.4999999999999992E-2</v>
      </c>
      <c r="L17" t="s">
        <v>15</v>
      </c>
      <c r="M17" t="s">
        <v>16</v>
      </c>
      <c r="O17">
        <v>3</v>
      </c>
      <c r="P17" t="s">
        <v>24</v>
      </c>
    </row>
    <row r="18" spans="1:16" x14ac:dyDescent="0.25">
      <c r="A18" t="s">
        <v>11</v>
      </c>
      <c r="B18" t="s">
        <v>12</v>
      </c>
      <c r="H18">
        <v>3</v>
      </c>
      <c r="I18" s="3">
        <f t="shared" si="2"/>
        <v>8.6180555555555552E-2</v>
      </c>
      <c r="J18" s="3">
        <f t="shared" si="3"/>
        <v>8.6180555555555552E-2</v>
      </c>
      <c r="O18">
        <v>4</v>
      </c>
      <c r="P18" t="s">
        <v>25</v>
      </c>
    </row>
    <row r="19" spans="1:16" x14ac:dyDescent="0.25">
      <c r="H19">
        <v>4</v>
      </c>
      <c r="I19" s="3">
        <f t="shared" si="2"/>
        <v>8.611632270168855E-2</v>
      </c>
      <c r="J19" s="3">
        <f t="shared" si="3"/>
        <v>8.611632270168855E-2</v>
      </c>
    </row>
    <row r="21" spans="1:16" x14ac:dyDescent="0.25">
      <c r="M21" s="4">
        <v>44977</v>
      </c>
      <c r="N21" s="5">
        <f ca="1">TODAY()</f>
        <v>45005</v>
      </c>
    </row>
    <row r="22" spans="1:16" x14ac:dyDescent="0.25">
      <c r="M22" s="4">
        <f ca="1">M21-N21</f>
        <v>-28</v>
      </c>
    </row>
    <row r="23" spans="1:16" x14ac:dyDescent="0.25">
      <c r="M23" s="4">
        <f ca="1">M22+540</f>
        <v>512</v>
      </c>
    </row>
    <row r="25" spans="1:16" x14ac:dyDescent="0.25">
      <c r="A25" t="s">
        <v>26</v>
      </c>
      <c r="H25" s="6" t="s">
        <v>31</v>
      </c>
    </row>
    <row r="26" spans="1:16" x14ac:dyDescent="0.25">
      <c r="A26" t="s">
        <v>3</v>
      </c>
      <c r="B26">
        <v>3</v>
      </c>
    </row>
    <row r="27" spans="1:16" x14ac:dyDescent="0.25">
      <c r="A27" t="s">
        <v>27</v>
      </c>
      <c r="B27">
        <v>5000</v>
      </c>
      <c r="E27" t="s">
        <v>30</v>
      </c>
      <c r="F27" s="2">
        <f>FV(B28,B26,0,-5000,1)</f>
        <v>5624.3200000000006</v>
      </c>
    </row>
    <row r="28" spans="1:16" x14ac:dyDescent="0.25">
      <c r="A28" t="s">
        <v>28</v>
      </c>
      <c r="B28" s="1">
        <v>0.04</v>
      </c>
      <c r="H28" s="2">
        <f>lokata(B27,B28,B26)</f>
        <v>5624.3200000000006</v>
      </c>
    </row>
    <row r="29" spans="1:16" x14ac:dyDescent="0.25">
      <c r="A29" t="s">
        <v>29</v>
      </c>
    </row>
  </sheetData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614C42-C76B-4C10-8469-59759C483FEB}">
  <sheetPr codeName="Arkusz3">
    <tabColor theme="7" tint="0.39997558519241921"/>
  </sheetPr>
  <dimension ref="A1:H1040"/>
  <sheetViews>
    <sheetView topLeftCell="A19" workbookViewId="0">
      <selection activeCell="A35" sqref="A35"/>
    </sheetView>
  </sheetViews>
  <sheetFormatPr defaultRowHeight="15" x14ac:dyDescent="0.25"/>
  <cols>
    <col min="1" max="1" width="20.42578125" bestFit="1" customWidth="1"/>
    <col min="3" max="3" width="15.140625" bestFit="1" customWidth="1"/>
  </cols>
  <sheetData>
    <row r="1" spans="1:6" x14ac:dyDescent="0.25">
      <c r="A1" t="s">
        <v>35</v>
      </c>
    </row>
    <row r="2" spans="1:6" x14ac:dyDescent="0.25">
      <c r="A2" t="s">
        <v>40</v>
      </c>
    </row>
    <row r="3" spans="1:6" x14ac:dyDescent="0.25">
      <c r="A3" t="s">
        <v>36</v>
      </c>
    </row>
    <row r="4" spans="1:6" x14ac:dyDescent="0.25">
      <c r="A4" t="s">
        <v>37</v>
      </c>
    </row>
    <row r="5" spans="1:6" x14ac:dyDescent="0.25">
      <c r="A5" t="s">
        <v>38</v>
      </c>
    </row>
    <row r="6" spans="1:6" x14ac:dyDescent="0.25">
      <c r="A6" t="s">
        <v>39</v>
      </c>
    </row>
    <row r="7" spans="1:6" x14ac:dyDescent="0.25">
      <c r="A7" t="s">
        <v>41</v>
      </c>
    </row>
    <row r="8" spans="1:6" x14ac:dyDescent="0.25">
      <c r="A8" t="s">
        <v>42</v>
      </c>
    </row>
    <row r="9" spans="1:6" x14ac:dyDescent="0.25">
      <c r="A9" t="s">
        <v>0</v>
      </c>
    </row>
    <row r="10" spans="1:6" x14ac:dyDescent="0.25">
      <c r="A10" t="s">
        <v>28</v>
      </c>
      <c r="B10">
        <v>3</v>
      </c>
    </row>
    <row r="11" spans="1:6" x14ac:dyDescent="0.25">
      <c r="A11" t="s">
        <v>43</v>
      </c>
      <c r="B11">
        <v>10</v>
      </c>
    </row>
    <row r="12" spans="1:6" x14ac:dyDescent="0.25">
      <c r="F12">
        <f>1000/(1.03)^10</f>
        <v>744.09391489672521</v>
      </c>
    </row>
    <row r="13" spans="1:6" x14ac:dyDescent="0.25">
      <c r="A13" t="s">
        <v>44</v>
      </c>
      <c r="C13" s="8">
        <f>PV(3%,10,0,-1000,0)</f>
        <v>744.09391489672521</v>
      </c>
    </row>
    <row r="15" spans="1:6" x14ac:dyDescent="0.25">
      <c r="A15" t="s">
        <v>8</v>
      </c>
    </row>
    <row r="16" spans="1:6" x14ac:dyDescent="0.25">
      <c r="A16">
        <f>C13+PV(3%,15,0,-5000,0)</f>
        <v>3953.4036518803132</v>
      </c>
    </row>
    <row r="18" spans="1:5" x14ac:dyDescent="0.25">
      <c r="A18" t="s">
        <v>26</v>
      </c>
    </row>
    <row r="19" spans="1:5" x14ac:dyDescent="0.25">
      <c r="A19" s="2">
        <f>PV(5%,20,-10000,0,0)</f>
        <v>124622.10342539987</v>
      </c>
    </row>
    <row r="21" spans="1:5" x14ac:dyDescent="0.25">
      <c r="A21" t="s">
        <v>45</v>
      </c>
    </row>
    <row r="22" spans="1:5" x14ac:dyDescent="0.25">
      <c r="A22" s="2">
        <f>PV(2%,15,-1,0,1)</f>
        <v>13.106248770585518</v>
      </c>
    </row>
    <row r="24" spans="1:5" x14ac:dyDescent="0.25">
      <c r="A24" t="s">
        <v>46</v>
      </c>
      <c r="C24" t="s">
        <v>49</v>
      </c>
    </row>
    <row r="26" spans="1:5" x14ac:dyDescent="0.25">
      <c r="A26" s="2">
        <f>PV(1%,39,-5000,0,0)-PV(1%,9,-5000,0,0)</f>
        <v>117985.07699543516</v>
      </c>
      <c r="C26" s="9">
        <f>PV(1%,30,-5000,0,1)*PV(1%,10,0,-1,0)</f>
        <v>117985.07699543532</v>
      </c>
    </row>
    <row r="27" spans="1:5" x14ac:dyDescent="0.25">
      <c r="A27" s="2"/>
    </row>
    <row r="28" spans="1:5" x14ac:dyDescent="0.25">
      <c r="A28" s="2" t="s">
        <v>50</v>
      </c>
      <c r="C28" s="27" t="s">
        <v>51</v>
      </c>
      <c r="D28" s="27"/>
      <c r="E28" s="27"/>
    </row>
    <row r="29" spans="1:5" x14ac:dyDescent="0.25">
      <c r="A29" s="2">
        <f>PV(1%/12,60*12-1,-5000,0,0)-PV(1%/12,20*12-1,-5000,0,0)</f>
        <v>1620450.2446703352</v>
      </c>
      <c r="C29" s="27"/>
      <c r="D29" s="27"/>
      <c r="E29" s="27"/>
    </row>
    <row r="30" spans="1:5" x14ac:dyDescent="0.25">
      <c r="A30" s="2">
        <f>PV(1%/12,40*12,-5000,0,1)*PV(1%/12,20*12,0,-1,1)</f>
        <v>1620450.2446703354</v>
      </c>
      <c r="C30" s="11"/>
      <c r="D30" s="11"/>
      <c r="E30" s="11"/>
    </row>
    <row r="31" spans="1:5" x14ac:dyDescent="0.25">
      <c r="A31" t="s">
        <v>48</v>
      </c>
      <c r="C31" s="10"/>
    </row>
    <row r="32" spans="1:5" x14ac:dyDescent="0.25">
      <c r="A32" t="s">
        <v>52</v>
      </c>
    </row>
    <row r="34" spans="1:8" x14ac:dyDescent="0.25">
      <c r="A34" s="2">
        <f>600000/PV(9%,30,-1,0,0)</f>
        <v>58401.810834533877</v>
      </c>
      <c r="B34" s="2"/>
      <c r="C34" s="2">
        <f>30*A34-600000</f>
        <v>1152054.3250360163</v>
      </c>
      <c r="D34" t="s">
        <v>30</v>
      </c>
    </row>
    <row r="35" spans="1:8" x14ac:dyDescent="0.25">
      <c r="A35" s="2">
        <f>PMT(9%,30,-600000,0,0)</f>
        <v>58401.810834533877</v>
      </c>
      <c r="B35" s="2"/>
      <c r="C35" s="2"/>
    </row>
    <row r="36" spans="1:8" x14ac:dyDescent="0.25">
      <c r="A36" s="2" t="s">
        <v>53</v>
      </c>
      <c r="B36" s="2"/>
      <c r="C36" s="2"/>
    </row>
    <row r="37" spans="1:8" x14ac:dyDescent="0.25">
      <c r="A37" s="2">
        <f>600000/PV(9%/12,30*12,-1,0,0)</f>
        <v>4827.7357016686856</v>
      </c>
      <c r="B37" s="2"/>
      <c r="C37" s="2">
        <f>A37*30*12-600000</f>
        <v>1137984.8526007268</v>
      </c>
      <c r="D37" s="12">
        <f>(C37-C34)/C34</f>
        <v>-1.2212507804134739E-2</v>
      </c>
    </row>
    <row r="38" spans="1:8" x14ac:dyDescent="0.25">
      <c r="A38" s="2">
        <f>PMT(9%/12,30*12,-600000,0,0)</f>
        <v>4827.7357016686956</v>
      </c>
    </row>
    <row r="40" spans="1:8" x14ac:dyDescent="0.25">
      <c r="B40" t="s">
        <v>28</v>
      </c>
      <c r="C40">
        <v>0</v>
      </c>
      <c r="F40" t="s">
        <v>28</v>
      </c>
      <c r="G40">
        <v>0</v>
      </c>
      <c r="H40">
        <f>D(G40,45)</f>
        <v>1035</v>
      </c>
    </row>
    <row r="41" spans="1:8" x14ac:dyDescent="0.25">
      <c r="B41" t="s">
        <v>43</v>
      </c>
      <c r="C41">
        <v>45</v>
      </c>
      <c r="G41">
        <v>1E-3</v>
      </c>
      <c r="H41">
        <f t="shared" ref="H41:H104" si="0">D(G41,45)</f>
        <v>1018.977688891675</v>
      </c>
    </row>
    <row r="42" spans="1:8" x14ac:dyDescent="0.25">
      <c r="G42">
        <v>2E-3</v>
      </c>
      <c r="H42">
        <f t="shared" si="0"/>
        <v>1003.3333155219981</v>
      </c>
    </row>
    <row r="43" spans="1:8" x14ac:dyDescent="0.25">
      <c r="B43">
        <f>D(C40,C41)</f>
        <v>1035</v>
      </c>
      <c r="G43">
        <v>3.0000000000000001E-3</v>
      </c>
      <c r="H43">
        <f t="shared" si="0"/>
        <v>988.05599368441483</v>
      </c>
    </row>
    <row r="44" spans="1:8" x14ac:dyDescent="0.25">
      <c r="G44">
        <v>4.0000000000000001E-3</v>
      </c>
      <c r="H44">
        <f t="shared" si="0"/>
        <v>973.135191900824</v>
      </c>
    </row>
    <row r="45" spans="1:8" x14ac:dyDescent="0.25">
      <c r="G45">
        <v>5.0000000000000001E-3</v>
      </c>
      <c r="H45">
        <f t="shared" si="0"/>
        <v>958.56072081162256</v>
      </c>
    </row>
    <row r="46" spans="1:8" x14ac:dyDescent="0.25">
      <c r="G46">
        <v>6.0000000000000001E-3</v>
      </c>
      <c r="H46">
        <f t="shared" si="0"/>
        <v>944.32272104489527</v>
      </c>
    </row>
    <row r="47" spans="1:8" x14ac:dyDescent="0.25">
      <c r="G47">
        <v>7.0000000000000001E-3</v>
      </c>
      <c r="H47">
        <f t="shared" si="0"/>
        <v>930.41165154561259</v>
      </c>
    </row>
    <row r="48" spans="1:8" x14ac:dyDescent="0.25">
      <c r="G48">
        <v>8.0000000000000002E-3</v>
      </c>
      <c r="H48">
        <f t="shared" si="0"/>
        <v>916.81827834632702</v>
      </c>
    </row>
    <row r="49" spans="7:8" x14ac:dyDescent="0.25">
      <c r="G49">
        <v>8.9999999999999993E-3</v>
      </c>
      <c r="H49">
        <f t="shared" si="0"/>
        <v>903.53366376183351</v>
      </c>
    </row>
    <row r="50" spans="7:8" x14ac:dyDescent="0.25">
      <c r="G50">
        <v>0.01</v>
      </c>
      <c r="H50">
        <f t="shared" si="0"/>
        <v>890.54915599078095</v>
      </c>
    </row>
    <row r="51" spans="7:8" x14ac:dyDescent="0.25">
      <c r="G51">
        <v>1.0999999999999999E-2</v>
      </c>
      <c r="H51">
        <f t="shared" si="0"/>
        <v>877.85637910813659</v>
      </c>
    </row>
    <row r="52" spans="7:8" x14ac:dyDescent="0.25">
      <c r="G52">
        <v>1.2E-2</v>
      </c>
      <c r="H52">
        <f t="shared" si="0"/>
        <v>865.44722343288947</v>
      </c>
    </row>
    <row r="53" spans="7:8" x14ac:dyDescent="0.25">
      <c r="G53">
        <v>1.2999999999999999E-2</v>
      </c>
      <c r="H53">
        <f t="shared" si="0"/>
        <v>853.31383625620037</v>
      </c>
    </row>
    <row r="54" spans="7:8" x14ac:dyDescent="0.25">
      <c r="G54">
        <v>1.4E-2</v>
      </c>
      <c r="H54">
        <f t="shared" si="0"/>
        <v>841.44861291565894</v>
      </c>
    </row>
    <row r="55" spans="7:8" x14ac:dyDescent="0.25">
      <c r="G55">
        <v>1.4999999999999999E-2</v>
      </c>
      <c r="H55">
        <f t="shared" si="0"/>
        <v>829.84418820205485</v>
      </c>
    </row>
    <row r="56" spans="7:8" x14ac:dyDescent="0.25">
      <c r="G56">
        <v>1.6E-2</v>
      </c>
      <c r="H56">
        <f t="shared" si="0"/>
        <v>818.49342808549238</v>
      </c>
    </row>
    <row r="57" spans="7:8" x14ac:dyDescent="0.25">
      <c r="G57">
        <v>1.7000000000000001E-2</v>
      </c>
      <c r="H57">
        <f t="shared" si="0"/>
        <v>807.38942174835358</v>
      </c>
    </row>
    <row r="58" spans="7:8" x14ac:dyDescent="0.25">
      <c r="G58">
        <v>1.7999999999999999E-2</v>
      </c>
      <c r="H58">
        <f t="shared" si="0"/>
        <v>796.52547391299595</v>
      </c>
    </row>
    <row r="59" spans="7:8" x14ac:dyDescent="0.25">
      <c r="G59">
        <v>1.9E-2</v>
      </c>
      <c r="H59">
        <f t="shared" si="0"/>
        <v>785.89509745271675</v>
      </c>
    </row>
    <row r="60" spans="7:8" x14ac:dyDescent="0.25">
      <c r="G60">
        <v>0.02</v>
      </c>
      <c r="H60">
        <f t="shared" si="0"/>
        <v>775.49200627482708</v>
      </c>
    </row>
    <row r="61" spans="7:8" x14ac:dyDescent="0.25">
      <c r="G61">
        <v>2.1000000000000001E-2</v>
      </c>
      <c r="H61">
        <f t="shared" si="0"/>
        <v>765.31010846530387</v>
      </c>
    </row>
    <row r="62" spans="7:8" x14ac:dyDescent="0.25">
      <c r="G62">
        <v>2.1999999999999999E-2</v>
      </c>
      <c r="H62">
        <f t="shared" si="0"/>
        <v>755.34349968474805</v>
      </c>
    </row>
    <row r="63" spans="7:8" x14ac:dyDescent="0.25">
      <c r="G63">
        <v>2.3E-2</v>
      </c>
      <c r="H63">
        <f t="shared" si="0"/>
        <v>745.58645680596885</v>
      </c>
    </row>
    <row r="64" spans="7:8" x14ac:dyDescent="0.25">
      <c r="G64">
        <v>2.4E-2</v>
      </c>
      <c r="H64">
        <f t="shared" si="0"/>
        <v>736.03343178374109</v>
      </c>
    </row>
    <row r="65" spans="7:8" x14ac:dyDescent="0.25">
      <c r="G65">
        <v>2.5000000000000001E-2</v>
      </c>
      <c r="H65">
        <f t="shared" si="0"/>
        <v>726.67904574782744</v>
      </c>
    </row>
    <row r="66" spans="7:8" x14ac:dyDescent="0.25">
      <c r="G66">
        <v>2.5999999999999999E-2</v>
      </c>
      <c r="H66">
        <f t="shared" si="0"/>
        <v>717.51808331056907</v>
      </c>
    </row>
    <row r="67" spans="7:8" x14ac:dyDescent="0.25">
      <c r="G67">
        <v>2.7E-2</v>
      </c>
      <c r="H67">
        <f t="shared" si="0"/>
        <v>708.54548708084087</v>
      </c>
    </row>
    <row r="68" spans="7:8" x14ac:dyDescent="0.25">
      <c r="G68">
        <v>2.8000000000000001E-2</v>
      </c>
      <c r="H68">
        <f t="shared" si="0"/>
        <v>699.75635237637346</v>
      </c>
    </row>
    <row r="69" spans="7:8" x14ac:dyDescent="0.25">
      <c r="G69">
        <v>2.9000000000000001E-2</v>
      </c>
      <c r="H69">
        <f t="shared" si="0"/>
        <v>691.14592212687489</v>
      </c>
    </row>
    <row r="70" spans="7:8" x14ac:dyDescent="0.25">
      <c r="G70">
        <v>0.03</v>
      </c>
      <c r="H70">
        <f t="shared" si="0"/>
        <v>682.70958196060326</v>
      </c>
    </row>
    <row r="71" spans="7:8" x14ac:dyDescent="0.25">
      <c r="G71">
        <v>3.1E-2</v>
      </c>
      <c r="H71">
        <f t="shared" si="0"/>
        <v>674.4428554674123</v>
      </c>
    </row>
    <row r="72" spans="7:8" x14ac:dyDescent="0.25">
      <c r="G72">
        <v>3.2000000000000001E-2</v>
      </c>
      <c r="H72">
        <f t="shared" si="0"/>
        <v>666.34139963149573</v>
      </c>
    </row>
    <row r="73" spans="7:8" x14ac:dyDescent="0.25">
      <c r="G73">
        <v>3.3000000000000002E-2</v>
      </c>
      <c r="H73">
        <f t="shared" si="0"/>
        <v>658.40100042741858</v>
      </c>
    </row>
    <row r="74" spans="7:8" x14ac:dyDescent="0.25">
      <c r="G74">
        <v>3.4000000000000002E-2</v>
      </c>
      <c r="H74">
        <f t="shared" si="0"/>
        <v>650.617568573168</v>
      </c>
    </row>
    <row r="75" spans="7:8" x14ac:dyDescent="0.25">
      <c r="G75">
        <v>3.5000000000000003E-2</v>
      </c>
      <c r="H75">
        <f t="shared" si="0"/>
        <v>642.98713543434349</v>
      </c>
    </row>
    <row r="76" spans="7:8" x14ac:dyDescent="0.25">
      <c r="G76">
        <v>3.5999999999999997E-2</v>
      </c>
      <c r="H76">
        <f t="shared" si="0"/>
        <v>635.50584907369011</v>
      </c>
    </row>
    <row r="77" spans="7:8" x14ac:dyDescent="0.25">
      <c r="G77">
        <v>3.6999999999999998E-2</v>
      </c>
      <c r="H77">
        <f t="shared" si="0"/>
        <v>628.16997044055563</v>
      </c>
    </row>
    <row r="78" spans="7:8" x14ac:dyDescent="0.25">
      <c r="G78">
        <v>3.7999999999999999E-2</v>
      </c>
      <c r="H78">
        <f t="shared" si="0"/>
        <v>620.97586969493625</v>
      </c>
    </row>
    <row r="79" spans="7:8" x14ac:dyDescent="0.25">
      <c r="G79">
        <v>3.9E-2</v>
      </c>
      <c r="H79">
        <f t="shared" si="0"/>
        <v>613.92002266110899</v>
      </c>
    </row>
    <row r="80" spans="7:8" x14ac:dyDescent="0.25">
      <c r="G80">
        <v>0.04</v>
      </c>
      <c r="H80">
        <f t="shared" si="0"/>
        <v>606.99900740592534</v>
      </c>
    </row>
    <row r="81" spans="7:8" x14ac:dyDescent="0.25">
      <c r="G81">
        <v>4.1000000000000002E-2</v>
      </c>
      <c r="H81">
        <f t="shared" si="0"/>
        <v>600.20950093716147</v>
      </c>
    </row>
    <row r="82" spans="7:8" x14ac:dyDescent="0.25">
      <c r="G82">
        <v>4.2000000000000003E-2</v>
      </c>
      <c r="H82">
        <f t="shared" si="0"/>
        <v>593.54827601737782</v>
      </c>
    </row>
    <row r="83" spans="7:8" x14ac:dyDescent="0.25">
      <c r="G83">
        <v>4.2999999999999997E-2</v>
      </c>
      <c r="H83">
        <f t="shared" si="0"/>
        <v>587.01219808902874</v>
      </c>
    </row>
    <row r="84" spans="7:8" x14ac:dyDescent="0.25">
      <c r="G84">
        <v>4.3999999999999997E-2</v>
      </c>
      <c r="H84">
        <f t="shared" si="0"/>
        <v>580.59822230664588</v>
      </c>
    </row>
    <row r="85" spans="7:8" x14ac:dyDescent="0.25">
      <c r="G85">
        <v>4.4999999999999998E-2</v>
      </c>
      <c r="H85">
        <f t="shared" si="0"/>
        <v>574.30339067214607</v>
      </c>
    </row>
    <row r="86" spans="7:8" x14ac:dyDescent="0.25">
      <c r="G86">
        <v>4.5999999999999999E-2</v>
      </c>
      <c r="H86">
        <f t="shared" si="0"/>
        <v>568.12482926941698</v>
      </c>
    </row>
    <row r="87" spans="7:8" x14ac:dyDescent="0.25">
      <c r="G87">
        <v>4.7E-2</v>
      </c>
      <c r="H87">
        <f t="shared" si="0"/>
        <v>562.05974559453819</v>
      </c>
    </row>
    <row r="88" spans="7:8" x14ac:dyDescent="0.25">
      <c r="G88">
        <v>4.8000000000000001E-2</v>
      </c>
      <c r="H88">
        <f t="shared" si="0"/>
        <v>556.10542597806591</v>
      </c>
    </row>
    <row r="89" spans="7:8" x14ac:dyDescent="0.25">
      <c r="G89">
        <v>4.9000000000000002E-2</v>
      </c>
      <c r="H89">
        <f t="shared" si="0"/>
        <v>550.25923309605002</v>
      </c>
    </row>
    <row r="90" spans="7:8" x14ac:dyDescent="0.25">
      <c r="G90">
        <v>0.05</v>
      </c>
      <c r="H90">
        <f t="shared" si="0"/>
        <v>544.51860356645284</v>
      </c>
    </row>
    <row r="91" spans="7:8" x14ac:dyDescent="0.25">
      <c r="G91">
        <v>5.0999999999999997E-2</v>
      </c>
      <c r="H91">
        <f t="shared" si="0"/>
        <v>538.88104562790807</v>
      </c>
    </row>
    <row r="92" spans="7:8" x14ac:dyDescent="0.25">
      <c r="G92">
        <v>5.1999999999999998E-2</v>
      </c>
      <c r="H92">
        <f t="shared" si="0"/>
        <v>533.34413689774044</v>
      </c>
    </row>
    <row r="93" spans="7:8" x14ac:dyDescent="0.25">
      <c r="G93">
        <v>5.2999999999999999E-2</v>
      </c>
      <c r="H93">
        <f t="shared" si="0"/>
        <v>527.90552220641678</v>
      </c>
    </row>
    <row r="94" spans="7:8" x14ac:dyDescent="0.25">
      <c r="G94">
        <v>5.3999999999999999E-2</v>
      </c>
      <c r="H94">
        <f t="shared" si="0"/>
        <v>522.562911505579</v>
      </c>
    </row>
    <row r="95" spans="7:8" x14ac:dyDescent="0.25">
      <c r="G95">
        <v>5.5E-2</v>
      </c>
      <c r="H95">
        <f t="shared" si="0"/>
        <v>517.31407784704345</v>
      </c>
    </row>
    <row r="96" spans="7:8" x14ac:dyDescent="0.25">
      <c r="G96">
        <v>5.6000000000000001E-2</v>
      </c>
      <c r="H96">
        <f t="shared" si="0"/>
        <v>512.15685543014331</v>
      </c>
    </row>
    <row r="97" spans="7:8" x14ac:dyDescent="0.25">
      <c r="G97">
        <v>5.7000000000000002E-2</v>
      </c>
      <c r="H97">
        <f t="shared" si="0"/>
        <v>507.08913771497612</v>
      </c>
    </row>
    <row r="98" spans="7:8" x14ac:dyDescent="0.25">
      <c r="G98">
        <v>5.8000000000000003E-2</v>
      </c>
      <c r="H98">
        <f t="shared" si="0"/>
        <v>502.10887559914534</v>
      </c>
    </row>
    <row r="99" spans="7:8" x14ac:dyDescent="0.25">
      <c r="G99">
        <v>5.8999999999999997E-2</v>
      </c>
      <c r="H99">
        <f t="shared" si="0"/>
        <v>497.21407565573833</v>
      </c>
    </row>
    <row r="100" spans="7:8" x14ac:dyDescent="0.25">
      <c r="G100">
        <v>0.06</v>
      </c>
      <c r="H100">
        <f t="shared" si="0"/>
        <v>492.4027984303051</v>
      </c>
    </row>
    <row r="101" spans="7:8" x14ac:dyDescent="0.25">
      <c r="G101">
        <v>6.0999999999999999E-2</v>
      </c>
      <c r="H101">
        <f t="shared" si="0"/>
        <v>487.67315679475308</v>
      </c>
    </row>
    <row r="102" spans="7:8" x14ac:dyDescent="0.25">
      <c r="G102">
        <v>6.2E-2</v>
      </c>
      <c r="H102">
        <f t="shared" si="0"/>
        <v>483.02331435608716</v>
      </c>
    </row>
    <row r="103" spans="7:8" x14ac:dyDescent="0.25">
      <c r="G103">
        <v>6.3E-2</v>
      </c>
      <c r="H103">
        <f t="shared" si="0"/>
        <v>478.45148391806794</v>
      </c>
    </row>
    <row r="104" spans="7:8" x14ac:dyDescent="0.25">
      <c r="G104">
        <v>6.4000000000000001E-2</v>
      </c>
      <c r="H104">
        <f t="shared" si="0"/>
        <v>473.95592599386816</v>
      </c>
    </row>
    <row r="105" spans="7:8" x14ac:dyDescent="0.25">
      <c r="G105">
        <v>6.5000000000000002E-2</v>
      </c>
      <c r="H105">
        <f t="shared" ref="H105:H168" si="1">D(G105,45)</f>
        <v>469.53494736794545</v>
      </c>
    </row>
    <row r="106" spans="7:8" x14ac:dyDescent="0.25">
      <c r="G106">
        <v>6.6000000000000003E-2</v>
      </c>
      <c r="H106">
        <f t="shared" si="1"/>
        <v>465.18689970535286</v>
      </c>
    </row>
    <row r="107" spans="7:8" x14ac:dyDescent="0.25">
      <c r="G107">
        <v>6.7000000000000004E-2</v>
      </c>
      <c r="H107">
        <f t="shared" si="1"/>
        <v>460.91017820683425</v>
      </c>
    </row>
    <row r="108" spans="7:8" x14ac:dyDescent="0.25">
      <c r="G108">
        <v>6.8000000000000005E-2</v>
      </c>
      <c r="H108">
        <f t="shared" si="1"/>
        <v>456.70322030806585</v>
      </c>
    </row>
    <row r="109" spans="7:8" x14ac:dyDescent="0.25">
      <c r="G109">
        <v>6.9000000000000006E-2</v>
      </c>
      <c r="H109">
        <f t="shared" si="1"/>
        <v>452.56450442149958</v>
      </c>
    </row>
    <row r="110" spans="7:8" x14ac:dyDescent="0.25">
      <c r="G110">
        <v>7.0000000000000007E-2</v>
      </c>
      <c r="H110">
        <f t="shared" si="1"/>
        <v>448.49254871930026</v>
      </c>
    </row>
    <row r="111" spans="7:8" x14ac:dyDescent="0.25">
      <c r="G111">
        <v>7.0999999999999994E-2</v>
      </c>
      <c r="H111">
        <f t="shared" si="1"/>
        <v>444.48590995594463</v>
      </c>
    </row>
    <row r="112" spans="7:8" x14ac:dyDescent="0.25">
      <c r="G112">
        <v>7.1999999999999995E-2</v>
      </c>
      <c r="H112">
        <f t="shared" si="1"/>
        <v>440.54318232907542</v>
      </c>
    </row>
    <row r="113" spans="7:8" x14ac:dyDescent="0.25">
      <c r="G113">
        <v>7.2999999999999995E-2</v>
      </c>
      <c r="H113">
        <f t="shared" si="1"/>
        <v>436.66299637729747</v>
      </c>
    </row>
    <row r="114" spans="7:8" x14ac:dyDescent="0.25">
      <c r="G114">
        <v>7.3999999999999996E-2</v>
      </c>
      <c r="H114">
        <f t="shared" si="1"/>
        <v>432.8440179135971</v>
      </c>
    </row>
    <row r="115" spans="7:8" x14ac:dyDescent="0.25">
      <c r="G115">
        <v>7.4999999999999997E-2</v>
      </c>
      <c r="H115">
        <f t="shared" si="1"/>
        <v>429.08494699317919</v>
      </c>
    </row>
    <row r="116" spans="7:8" x14ac:dyDescent="0.25">
      <c r="G116">
        <v>7.5999999999999998E-2</v>
      </c>
      <c r="H116">
        <f t="shared" si="1"/>
        <v>425.38451691449268</v>
      </c>
    </row>
    <row r="117" spans="7:8" x14ac:dyDescent="0.25">
      <c r="G117">
        <v>7.6999999999999999E-2</v>
      </c>
      <c r="H117">
        <f t="shared" si="1"/>
        <v>421.74149325232293</v>
      </c>
    </row>
    <row r="118" spans="7:8" x14ac:dyDescent="0.25">
      <c r="G118">
        <v>7.8E-2</v>
      </c>
      <c r="H118">
        <f t="shared" si="1"/>
        <v>418.15467292182245</v>
      </c>
    </row>
    <row r="119" spans="7:8" x14ac:dyDescent="0.25">
      <c r="G119">
        <v>7.9000000000000001E-2</v>
      </c>
      <c r="H119">
        <f t="shared" si="1"/>
        <v>414.62288327242771</v>
      </c>
    </row>
    <row r="120" spans="7:8" x14ac:dyDescent="0.25">
      <c r="G120">
        <v>0.08</v>
      </c>
      <c r="H120">
        <f t="shared" si="1"/>
        <v>411.1449812106186</v>
      </c>
    </row>
    <row r="121" spans="7:8" x14ac:dyDescent="0.25">
      <c r="G121">
        <v>8.1000000000000003E-2</v>
      </c>
      <c r="H121">
        <f t="shared" si="1"/>
        <v>407.71985235054768</v>
      </c>
    </row>
    <row r="122" spans="7:8" x14ac:dyDescent="0.25">
      <c r="G122">
        <v>8.2000000000000003E-2</v>
      </c>
      <c r="H122">
        <f t="shared" si="1"/>
        <v>404.34641019156345</v>
      </c>
    </row>
    <row r="123" spans="7:8" x14ac:dyDescent="0.25">
      <c r="G123">
        <v>8.3000000000000004E-2</v>
      </c>
      <c r="H123">
        <f t="shared" si="1"/>
        <v>401.02359532173256</v>
      </c>
    </row>
    <row r="124" spans="7:8" x14ac:dyDescent="0.25">
      <c r="G124">
        <v>8.4000000000000005E-2</v>
      </c>
      <c r="H124">
        <f t="shared" si="1"/>
        <v>397.75037464644851</v>
      </c>
    </row>
    <row r="125" spans="7:8" x14ac:dyDescent="0.25">
      <c r="G125">
        <v>8.5000000000000006E-2</v>
      </c>
      <c r="H125">
        <f t="shared" si="1"/>
        <v>394.52574064129908</v>
      </c>
    </row>
    <row r="126" spans="7:8" x14ac:dyDescent="0.25">
      <c r="G126">
        <v>8.5999999999999993E-2</v>
      </c>
      <c r="H126">
        <f t="shared" si="1"/>
        <v>391.34871062834236</v>
      </c>
    </row>
    <row r="127" spans="7:8" x14ac:dyDescent="0.25">
      <c r="G127">
        <v>8.6999999999999994E-2</v>
      </c>
      <c r="H127">
        <f t="shared" si="1"/>
        <v>388.21832607502517</v>
      </c>
    </row>
    <row r="128" spans="7:8" x14ac:dyDescent="0.25">
      <c r="G128">
        <v>8.7999999999999995E-2</v>
      </c>
      <c r="H128">
        <f t="shared" si="1"/>
        <v>385.13365191495325</v>
      </c>
    </row>
    <row r="129" spans="7:8" x14ac:dyDescent="0.25">
      <c r="G129">
        <v>8.8999999999999996E-2</v>
      </c>
      <c r="H129">
        <f t="shared" si="1"/>
        <v>382.09377588980038</v>
      </c>
    </row>
    <row r="130" spans="7:8" x14ac:dyDescent="0.25">
      <c r="G130">
        <v>0.09</v>
      </c>
      <c r="H130">
        <f t="shared" si="1"/>
        <v>379.09780791162177</v>
      </c>
    </row>
    <row r="131" spans="7:8" x14ac:dyDescent="0.25">
      <c r="G131">
        <v>9.0999999999999998E-2</v>
      </c>
      <c r="H131">
        <f t="shared" si="1"/>
        <v>376.14487944490924</v>
      </c>
    </row>
    <row r="132" spans="7:8" x14ac:dyDescent="0.25">
      <c r="G132">
        <v>9.1999999999999998E-2</v>
      </c>
      <c r="H132">
        <f t="shared" si="1"/>
        <v>373.23414290770717</v>
      </c>
    </row>
    <row r="133" spans="7:8" x14ac:dyDescent="0.25">
      <c r="G133">
        <v>9.2999999999999999E-2</v>
      </c>
      <c r="H133">
        <f t="shared" si="1"/>
        <v>370.36477109116908</v>
      </c>
    </row>
    <row r="134" spans="7:8" x14ac:dyDescent="0.25">
      <c r="G134">
        <v>9.4E-2</v>
      </c>
      <c r="H134">
        <f t="shared" si="1"/>
        <v>367.53595659692627</v>
      </c>
    </row>
    <row r="135" spans="7:8" x14ac:dyDescent="0.25">
      <c r="G135">
        <v>9.5000000000000001E-2</v>
      </c>
      <c r="H135">
        <f t="shared" si="1"/>
        <v>364.74691129168838</v>
      </c>
    </row>
    <row r="136" spans="7:8" x14ac:dyDescent="0.25">
      <c r="G136">
        <v>9.6000000000000002E-2</v>
      </c>
      <c r="H136">
        <f t="shared" si="1"/>
        <v>361.99686577849133</v>
      </c>
    </row>
    <row r="137" spans="7:8" x14ac:dyDescent="0.25">
      <c r="G137">
        <v>9.7000000000000003E-2</v>
      </c>
      <c r="H137">
        <f t="shared" si="1"/>
        <v>359.2850688840561</v>
      </c>
    </row>
    <row r="138" spans="7:8" x14ac:dyDescent="0.25">
      <c r="G138">
        <v>9.8000000000000004E-2</v>
      </c>
      <c r="H138">
        <f t="shared" si="1"/>
        <v>356.61078716171056</v>
      </c>
    </row>
    <row r="139" spans="7:8" x14ac:dyDescent="0.25">
      <c r="G139">
        <v>9.9000000000000005E-2</v>
      </c>
      <c r="H139">
        <f t="shared" si="1"/>
        <v>353.97330440937696</v>
      </c>
    </row>
    <row r="140" spans="7:8" x14ac:dyDescent="0.25">
      <c r="G140">
        <v>0.1</v>
      </c>
      <c r="H140">
        <f t="shared" si="1"/>
        <v>351.37192120211472</v>
      </c>
    </row>
    <row r="141" spans="7:8" x14ac:dyDescent="0.25">
      <c r="G141">
        <v>0.10100000000000001</v>
      </c>
      <c r="H141">
        <f t="shared" si="1"/>
        <v>348.80595443875654</v>
      </c>
    </row>
    <row r="142" spans="7:8" x14ac:dyDescent="0.25">
      <c r="G142">
        <v>0.10199999999999999</v>
      </c>
      <c r="H142">
        <f t="shared" si="1"/>
        <v>346.27473690216158</v>
      </c>
    </row>
    <row r="143" spans="7:8" x14ac:dyDescent="0.25">
      <c r="G143">
        <v>0.10299999999999999</v>
      </c>
      <c r="H143">
        <f t="shared" si="1"/>
        <v>343.77761683265447</v>
      </c>
    </row>
    <row r="144" spans="7:8" x14ac:dyDescent="0.25">
      <c r="G144">
        <v>0.104</v>
      </c>
      <c r="H144">
        <f t="shared" si="1"/>
        <v>341.31395751420843</v>
      </c>
    </row>
    <row r="145" spans="7:8" x14ac:dyDescent="0.25">
      <c r="G145">
        <v>0.105</v>
      </c>
      <c r="H145">
        <f t="shared" si="1"/>
        <v>338.88313687297148</v>
      </c>
    </row>
    <row r="146" spans="7:8" x14ac:dyDescent="0.25">
      <c r="G146">
        <v>0.106</v>
      </c>
      <c r="H146">
        <f t="shared" si="1"/>
        <v>336.48454708772249</v>
      </c>
    </row>
    <row r="147" spans="7:8" x14ac:dyDescent="0.25">
      <c r="G147">
        <v>0.107</v>
      </c>
      <c r="H147">
        <f t="shared" si="1"/>
        <v>334.11759421188304</v>
      </c>
    </row>
    <row r="148" spans="7:8" x14ac:dyDescent="0.25">
      <c r="G148">
        <v>0.108</v>
      </c>
      <c r="H148">
        <f t="shared" si="1"/>
        <v>331.78169780670083</v>
      </c>
    </row>
    <row r="149" spans="7:8" x14ac:dyDescent="0.25">
      <c r="G149">
        <v>0.109</v>
      </c>
      <c r="H149">
        <f t="shared" si="1"/>
        <v>329.47629058525661</v>
      </c>
    </row>
    <row r="150" spans="7:8" x14ac:dyDescent="0.25">
      <c r="G150">
        <v>0.11</v>
      </c>
      <c r="H150">
        <f t="shared" si="1"/>
        <v>327.20081806693725</v>
      </c>
    </row>
    <row r="151" spans="7:8" x14ac:dyDescent="0.25">
      <c r="G151">
        <v>0.111</v>
      </c>
      <c r="H151">
        <f t="shared" si="1"/>
        <v>324.95473824204714</v>
      </c>
    </row>
    <row r="152" spans="7:8" x14ac:dyDescent="0.25">
      <c r="G152">
        <v>0.112</v>
      </c>
      <c r="H152">
        <f t="shared" si="1"/>
        <v>322.7375212462253</v>
      </c>
    </row>
    <row r="153" spans="7:8" x14ac:dyDescent="0.25">
      <c r="G153">
        <v>0.113</v>
      </c>
      <c r="H153">
        <f t="shared" si="1"/>
        <v>320.54864904436943</v>
      </c>
    </row>
    <row r="154" spans="7:8" x14ac:dyDescent="0.25">
      <c r="G154">
        <v>0.114</v>
      </c>
      <c r="H154">
        <f t="shared" si="1"/>
        <v>318.38761512374487</v>
      </c>
    </row>
    <row r="155" spans="7:8" x14ac:dyDescent="0.25">
      <c r="G155">
        <v>0.115</v>
      </c>
      <c r="H155">
        <f t="shared" si="1"/>
        <v>316.25392419600939</v>
      </c>
    </row>
    <row r="156" spans="7:8" x14ac:dyDescent="0.25">
      <c r="G156">
        <v>0.11600000000000001</v>
      </c>
      <c r="H156">
        <f t="shared" si="1"/>
        <v>314.14709190784879</v>
      </c>
    </row>
    <row r="157" spans="7:8" x14ac:dyDescent="0.25">
      <c r="G157">
        <v>0.11700000000000001</v>
      </c>
      <c r="H157">
        <f t="shared" si="1"/>
        <v>312.06664455997441</v>
      </c>
    </row>
    <row r="158" spans="7:8" x14ac:dyDescent="0.25">
      <c r="G158">
        <v>0.11799999999999999</v>
      </c>
      <c r="H158">
        <f t="shared" si="1"/>
        <v>310.01211883419523</v>
      </c>
    </row>
    <row r="159" spans="7:8" x14ac:dyDescent="0.25">
      <c r="G159">
        <v>0.11899999999999999</v>
      </c>
      <c r="H159">
        <f t="shared" si="1"/>
        <v>307.98306152833425</v>
      </c>
    </row>
    <row r="160" spans="7:8" x14ac:dyDescent="0.25">
      <c r="G160">
        <v>0.12</v>
      </c>
      <c r="H160">
        <f t="shared" si="1"/>
        <v>305.97902929872339</v>
      </c>
    </row>
    <row r="161" spans="7:8" x14ac:dyDescent="0.25">
      <c r="G161">
        <v>0.121</v>
      </c>
      <c r="H161">
        <f t="shared" si="1"/>
        <v>303.99958841005423</v>
      </c>
    </row>
    <row r="162" spans="7:8" x14ac:dyDescent="0.25">
      <c r="G162">
        <v>0.122</v>
      </c>
      <c r="H162">
        <f t="shared" si="1"/>
        <v>302.04431449234318</v>
      </c>
    </row>
    <row r="163" spans="7:8" x14ac:dyDescent="0.25">
      <c r="G163">
        <v>0.123</v>
      </c>
      <c r="H163">
        <f t="shared" si="1"/>
        <v>300.11279230480028</v>
      </c>
    </row>
    <row r="164" spans="7:8" x14ac:dyDescent="0.25">
      <c r="G164">
        <v>0.124</v>
      </c>
      <c r="H164">
        <f t="shared" si="1"/>
        <v>298.20461550638277</v>
      </c>
    </row>
    <row r="165" spans="7:8" x14ac:dyDescent="0.25">
      <c r="G165">
        <v>0.125</v>
      </c>
      <c r="H165">
        <f t="shared" si="1"/>
        <v>296.31938643282234</v>
      </c>
    </row>
    <row r="166" spans="7:8" x14ac:dyDescent="0.25">
      <c r="G166">
        <v>0.126</v>
      </c>
      <c r="H166">
        <f t="shared" si="1"/>
        <v>294.45671587993138</v>
      </c>
    </row>
    <row r="167" spans="7:8" x14ac:dyDescent="0.25">
      <c r="G167">
        <v>0.127</v>
      </c>
      <c r="H167">
        <f t="shared" si="1"/>
        <v>292.61622289299311</v>
      </c>
    </row>
    <row r="168" spans="7:8" x14ac:dyDescent="0.25">
      <c r="G168">
        <v>0.128</v>
      </c>
      <c r="H168">
        <f t="shared" si="1"/>
        <v>290.7975345620502</v>
      </c>
    </row>
    <row r="169" spans="7:8" x14ac:dyDescent="0.25">
      <c r="G169">
        <v>0.129</v>
      </c>
      <c r="H169">
        <f t="shared" ref="H169:H232" si="2">D(G169,45)</f>
        <v>289.00028582290577</v>
      </c>
    </row>
    <row r="170" spans="7:8" x14ac:dyDescent="0.25">
      <c r="G170">
        <v>0.13</v>
      </c>
      <c r="H170">
        <f t="shared" si="2"/>
        <v>287.22411926366544</v>
      </c>
    </row>
    <row r="171" spans="7:8" x14ac:dyDescent="0.25">
      <c r="G171">
        <v>0.13100000000000001</v>
      </c>
      <c r="H171">
        <f t="shared" si="2"/>
        <v>285.4686849366538</v>
      </c>
    </row>
    <row r="172" spans="7:8" x14ac:dyDescent="0.25">
      <c r="G172">
        <v>0.13200000000000001</v>
      </c>
      <c r="H172">
        <f t="shared" si="2"/>
        <v>283.73364017553621</v>
      </c>
    </row>
    <row r="173" spans="7:8" x14ac:dyDescent="0.25">
      <c r="G173">
        <v>0.13300000000000001</v>
      </c>
      <c r="H173">
        <f t="shared" si="2"/>
        <v>282.01864941749136</v>
      </c>
    </row>
    <row r="174" spans="7:8" x14ac:dyDescent="0.25">
      <c r="G174">
        <v>0.13400000000000001</v>
      </c>
      <c r="H174">
        <f t="shared" si="2"/>
        <v>280.32338403027927</v>
      </c>
    </row>
    <row r="175" spans="7:8" x14ac:dyDescent="0.25">
      <c r="G175">
        <v>0.13500000000000001</v>
      </c>
      <c r="H175">
        <f t="shared" si="2"/>
        <v>278.64752214405866</v>
      </c>
    </row>
    <row r="176" spans="7:8" x14ac:dyDescent="0.25">
      <c r="G176">
        <v>0.13600000000000001</v>
      </c>
      <c r="H176">
        <f t="shared" si="2"/>
        <v>276.99074848781146</v>
      </c>
    </row>
    <row r="177" spans="7:8" x14ac:dyDescent="0.25">
      <c r="G177">
        <v>0.13700000000000001</v>
      </c>
      <c r="H177">
        <f t="shared" si="2"/>
        <v>275.35275423022989</v>
      </c>
    </row>
    <row r="178" spans="7:8" x14ac:dyDescent="0.25">
      <c r="G178">
        <v>0.13800000000000001</v>
      </c>
      <c r="H178">
        <f t="shared" si="2"/>
        <v>273.73323682494009</v>
      </c>
    </row>
    <row r="179" spans="7:8" x14ac:dyDescent="0.25">
      <c r="G179">
        <v>0.13900000000000001</v>
      </c>
      <c r="H179">
        <f t="shared" si="2"/>
        <v>272.13189985992608</v>
      </c>
    </row>
    <row r="180" spans="7:8" x14ac:dyDescent="0.25">
      <c r="G180">
        <v>0.14000000000000001</v>
      </c>
      <c r="H180">
        <f t="shared" si="2"/>
        <v>270.54845291103311</v>
      </c>
    </row>
    <row r="181" spans="7:8" x14ac:dyDescent="0.25">
      <c r="G181">
        <v>0.14099999999999999</v>
      </c>
      <c r="H181">
        <f t="shared" si="2"/>
        <v>268.98261139942696</v>
      </c>
    </row>
    <row r="182" spans="7:8" x14ac:dyDescent="0.25">
      <c r="G182">
        <v>0.14199999999999999</v>
      </c>
      <c r="H182">
        <f t="shared" si="2"/>
        <v>267.43409645288727</v>
      </c>
    </row>
    <row r="183" spans="7:8" x14ac:dyDescent="0.25">
      <c r="G183">
        <v>0.14299999999999999</v>
      </c>
      <c r="H183">
        <f t="shared" si="2"/>
        <v>265.90263477083181</v>
      </c>
    </row>
    <row r="184" spans="7:8" x14ac:dyDescent="0.25">
      <c r="G184">
        <v>0.14399999999999999</v>
      </c>
      <c r="H184">
        <f t="shared" si="2"/>
        <v>264.38795849295184</v>
      </c>
    </row>
    <row r="185" spans="7:8" x14ac:dyDescent="0.25">
      <c r="G185">
        <v>0.14499999999999999</v>
      </c>
      <c r="H185">
        <f t="shared" si="2"/>
        <v>262.88980507135398</v>
      </c>
    </row>
    <row r="186" spans="7:8" x14ac:dyDescent="0.25">
      <c r="G186">
        <v>0.14599999999999999</v>
      </c>
      <c r="H186">
        <f t="shared" si="2"/>
        <v>261.40791714610992</v>
      </c>
    </row>
    <row r="187" spans="7:8" x14ac:dyDescent="0.25">
      <c r="G187">
        <v>0.14699999999999999</v>
      </c>
      <c r="H187">
        <f t="shared" si="2"/>
        <v>259.94204242410711</v>
      </c>
    </row>
    <row r="188" spans="7:8" x14ac:dyDescent="0.25">
      <c r="G188">
        <v>0.14799999999999999</v>
      </c>
      <c r="H188">
        <f t="shared" si="2"/>
        <v>258.49193356111039</v>
      </c>
    </row>
    <row r="189" spans="7:8" x14ac:dyDescent="0.25">
      <c r="G189">
        <v>0.14899999999999999</v>
      </c>
      <c r="H189">
        <f t="shared" si="2"/>
        <v>257.05734804693526</v>
      </c>
    </row>
    <row r="190" spans="7:8" x14ac:dyDescent="0.25">
      <c r="G190">
        <v>0.15</v>
      </c>
      <c r="H190">
        <f t="shared" si="2"/>
        <v>255.63804809364703</v>
      </c>
    </row>
    <row r="191" spans="7:8" x14ac:dyDescent="0.25">
      <c r="G191">
        <v>0.151</v>
      </c>
      <c r="H191">
        <f t="shared" si="2"/>
        <v>254.23380052669185</v>
      </c>
    </row>
    <row r="192" spans="7:8" x14ac:dyDescent="0.25">
      <c r="G192">
        <v>0.152</v>
      </c>
      <c r="H192">
        <f t="shared" si="2"/>
        <v>252.84437667888307</v>
      </c>
    </row>
    <row r="193" spans="7:8" x14ac:dyDescent="0.25">
      <c r="G193">
        <v>0.153</v>
      </c>
      <c r="H193">
        <f t="shared" si="2"/>
        <v>251.46955228714953</v>
      </c>
    </row>
    <row r="194" spans="7:8" x14ac:dyDescent="0.25">
      <c r="G194">
        <v>0.154</v>
      </c>
      <c r="H194">
        <f t="shared" si="2"/>
        <v>250.10910739197772</v>
      </c>
    </row>
    <row r="195" spans="7:8" x14ac:dyDescent="0.25">
      <c r="G195">
        <v>0.155</v>
      </c>
      <c r="H195">
        <f t="shared" si="2"/>
        <v>248.76282623946028</v>
      </c>
    </row>
    <row r="196" spans="7:8" x14ac:dyDescent="0.25">
      <c r="G196">
        <v>0.156</v>
      </c>
      <c r="H196">
        <f t="shared" si="2"/>
        <v>247.43049718588327</v>
      </c>
    </row>
    <row r="197" spans="7:8" x14ac:dyDescent="0.25">
      <c r="G197">
        <v>0.157</v>
      </c>
      <c r="H197">
        <f t="shared" si="2"/>
        <v>246.11191260477366</v>
      </c>
    </row>
    <row r="198" spans="7:8" x14ac:dyDescent="0.25">
      <c r="G198">
        <v>0.158</v>
      </c>
      <c r="H198">
        <f t="shared" si="2"/>
        <v>244.8068687963432</v>
      </c>
    </row>
    <row r="199" spans="7:8" x14ac:dyDescent="0.25">
      <c r="G199">
        <v>0.159</v>
      </c>
      <c r="H199">
        <f t="shared" si="2"/>
        <v>243.51516589925319</v>
      </c>
    </row>
    <row r="200" spans="7:8" x14ac:dyDescent="0.25">
      <c r="G200">
        <v>0.16</v>
      </c>
      <c r="H200">
        <f t="shared" si="2"/>
        <v>242.23660780464101</v>
      </c>
    </row>
    <row r="201" spans="7:8" x14ac:dyDescent="0.25">
      <c r="G201">
        <v>0.161</v>
      </c>
      <c r="H201">
        <f t="shared" si="2"/>
        <v>240.97100207233788</v>
      </c>
    </row>
    <row r="202" spans="7:8" x14ac:dyDescent="0.25">
      <c r="G202">
        <v>0.16200000000000001</v>
      </c>
      <c r="H202">
        <f t="shared" si="2"/>
        <v>239.71815984922335</v>
      </c>
    </row>
    <row r="203" spans="7:8" x14ac:dyDescent="0.25">
      <c r="G203">
        <v>0.16300000000000001</v>
      </c>
      <c r="H203">
        <f t="shared" si="2"/>
        <v>238.47789578964748</v>
      </c>
    </row>
    <row r="204" spans="7:8" x14ac:dyDescent="0.25">
      <c r="G204">
        <v>0.16400000000000001</v>
      </c>
      <c r="H204">
        <f t="shared" si="2"/>
        <v>237.25002797787053</v>
      </c>
    </row>
    <row r="205" spans="7:8" x14ac:dyDescent="0.25">
      <c r="G205">
        <v>0.16500000000000001</v>
      </c>
      <c r="H205">
        <f t="shared" si="2"/>
        <v>236.03437785245757</v>
      </c>
    </row>
    <row r="206" spans="7:8" x14ac:dyDescent="0.25">
      <c r="G206">
        <v>0.16600000000000001</v>
      </c>
      <c r="H206">
        <f t="shared" si="2"/>
        <v>234.830770132579</v>
      </c>
    </row>
    <row r="207" spans="7:8" x14ac:dyDescent="0.25">
      <c r="G207">
        <v>0.16700000000000001</v>
      </c>
      <c r="H207">
        <f t="shared" si="2"/>
        <v>233.63903274615623</v>
      </c>
    </row>
    <row r="208" spans="7:8" x14ac:dyDescent="0.25">
      <c r="G208">
        <v>0.16800000000000001</v>
      </c>
      <c r="H208">
        <f t="shared" si="2"/>
        <v>232.45899675980945</v>
      </c>
    </row>
    <row r="209" spans="7:8" x14ac:dyDescent="0.25">
      <c r="G209">
        <v>0.16900000000000001</v>
      </c>
      <c r="H209">
        <f t="shared" si="2"/>
        <v>231.29049631055079</v>
      </c>
    </row>
    <row r="210" spans="7:8" x14ac:dyDescent="0.25">
      <c r="G210">
        <v>0.17</v>
      </c>
      <c r="H210">
        <f t="shared" si="2"/>
        <v>230.13336853917912</v>
      </c>
    </row>
    <row r="211" spans="7:8" x14ac:dyDescent="0.25">
      <c r="G211">
        <v>0.17100000000000001</v>
      </c>
      <c r="H211">
        <f t="shared" si="2"/>
        <v>228.98745352532504</v>
      </c>
    </row>
    <row r="212" spans="7:8" x14ac:dyDescent="0.25">
      <c r="G212">
        <v>0.17199999999999999</v>
      </c>
      <c r="H212">
        <f t="shared" si="2"/>
        <v>227.8525942241059</v>
      </c>
    </row>
    <row r="213" spans="7:8" x14ac:dyDescent="0.25">
      <c r="G213">
        <v>0.17299999999999999</v>
      </c>
      <c r="H213">
        <f t="shared" si="2"/>
        <v>226.72863640434053</v>
      </c>
    </row>
    <row r="214" spans="7:8" x14ac:dyDescent="0.25">
      <c r="G214">
        <v>0.17399999999999999</v>
      </c>
      <c r="H214">
        <f t="shared" si="2"/>
        <v>225.61542858828739</v>
      </c>
    </row>
    <row r="215" spans="7:8" x14ac:dyDescent="0.25">
      <c r="G215">
        <v>0.17499999999999999</v>
      </c>
      <c r="H215">
        <f t="shared" si="2"/>
        <v>224.51282199285711</v>
      </c>
    </row>
    <row r="216" spans="7:8" x14ac:dyDescent="0.25">
      <c r="G216">
        <v>0.17599999999999999</v>
      </c>
      <c r="H216">
        <f t="shared" si="2"/>
        <v>223.42067047226703</v>
      </c>
    </row>
    <row r="217" spans="7:8" x14ac:dyDescent="0.25">
      <c r="G217">
        <v>0.17699999999999999</v>
      </c>
      <c r="H217">
        <f t="shared" si="2"/>
        <v>222.33883046209198</v>
      </c>
    </row>
    <row r="218" spans="7:8" x14ac:dyDescent="0.25">
      <c r="G218">
        <v>0.17799999999999999</v>
      </c>
      <c r="H218">
        <f t="shared" si="2"/>
        <v>221.2671609246766</v>
      </c>
    </row>
    <row r="219" spans="7:8" x14ac:dyDescent="0.25">
      <c r="G219">
        <v>0.17899999999999999</v>
      </c>
      <c r="H219">
        <f t="shared" si="2"/>
        <v>220.20552329587213</v>
      </c>
    </row>
    <row r="220" spans="7:8" x14ac:dyDescent="0.25">
      <c r="G220">
        <v>0.18</v>
      </c>
      <c r="H220">
        <f t="shared" si="2"/>
        <v>219.15378143306162</v>
      </c>
    </row>
    <row r="221" spans="7:8" x14ac:dyDescent="0.25">
      <c r="G221">
        <v>0.18099999999999999</v>
      </c>
      <c r="H221">
        <f t="shared" si="2"/>
        <v>218.11180156443658</v>
      </c>
    </row>
    <row r="222" spans="7:8" x14ac:dyDescent="0.25">
      <c r="G222">
        <v>0.182</v>
      </c>
      <c r="H222">
        <f t="shared" si="2"/>
        <v>217.07945223949739</v>
      </c>
    </row>
    <row r="223" spans="7:8" x14ac:dyDescent="0.25">
      <c r="G223">
        <v>0.183</v>
      </c>
      <c r="H223">
        <f t="shared" si="2"/>
        <v>216.056604280736</v>
      </c>
    </row>
    <row r="224" spans="7:8" x14ac:dyDescent="0.25">
      <c r="G224">
        <v>0.184</v>
      </c>
      <c r="H224">
        <f t="shared" si="2"/>
        <v>215.04313073647864</v>
      </c>
    </row>
    <row r="225" spans="7:8" x14ac:dyDescent="0.25">
      <c r="G225">
        <v>0.185</v>
      </c>
      <c r="H225">
        <f t="shared" si="2"/>
        <v>214.038906834849</v>
      </c>
    </row>
    <row r="226" spans="7:8" x14ac:dyDescent="0.25">
      <c r="G226">
        <v>0.186</v>
      </c>
      <c r="H226">
        <f t="shared" si="2"/>
        <v>213.04380993882944</v>
      </c>
    </row>
    <row r="227" spans="7:8" x14ac:dyDescent="0.25">
      <c r="G227">
        <v>0.187</v>
      </c>
      <c r="H227">
        <f t="shared" si="2"/>
        <v>212.05771950238486</v>
      </c>
    </row>
    <row r="228" spans="7:8" x14ac:dyDescent="0.25">
      <c r="G228">
        <v>0.188</v>
      </c>
      <c r="H228">
        <f t="shared" si="2"/>
        <v>211.08051702762657</v>
      </c>
    </row>
    <row r="229" spans="7:8" x14ac:dyDescent="0.25">
      <c r="G229">
        <v>0.189</v>
      </c>
      <c r="H229">
        <f t="shared" si="2"/>
        <v>210.11208602298342</v>
      </c>
    </row>
    <row r="230" spans="7:8" x14ac:dyDescent="0.25">
      <c r="G230">
        <v>0.19</v>
      </c>
      <c r="H230">
        <f t="shared" si="2"/>
        <v>209.15231196235854</v>
      </c>
    </row>
    <row r="231" spans="7:8" x14ac:dyDescent="0.25">
      <c r="G231">
        <v>0.191</v>
      </c>
      <c r="H231">
        <f t="shared" si="2"/>
        <v>208.20108224524179</v>
      </c>
    </row>
    <row r="232" spans="7:8" x14ac:dyDescent="0.25">
      <c r="G232">
        <v>0.192</v>
      </c>
      <c r="H232">
        <f t="shared" si="2"/>
        <v>207.25828615775686</v>
      </c>
    </row>
    <row r="233" spans="7:8" x14ac:dyDescent="0.25">
      <c r="G233">
        <v>0.193</v>
      </c>
      <c r="H233">
        <f t="shared" ref="H233:H296" si="3">D(G233,45)</f>
        <v>206.32381483461293</v>
      </c>
    </row>
    <row r="234" spans="7:8" x14ac:dyDescent="0.25">
      <c r="G234">
        <v>0.19400000000000001</v>
      </c>
      <c r="H234">
        <f t="shared" si="3"/>
        <v>205.39756122194521</v>
      </c>
    </row>
    <row r="235" spans="7:8" x14ac:dyDescent="0.25">
      <c r="G235">
        <v>0.19500000000000001</v>
      </c>
      <c r="H235">
        <f t="shared" si="3"/>
        <v>204.47942004101139</v>
      </c>
    </row>
    <row r="236" spans="7:8" x14ac:dyDescent="0.25">
      <c r="G236">
        <v>0.19600000000000001</v>
      </c>
      <c r="H236">
        <f t="shared" si="3"/>
        <v>203.56928775273306</v>
      </c>
    </row>
    <row r="237" spans="7:8" x14ac:dyDescent="0.25">
      <c r="G237">
        <v>0.19700000000000001</v>
      </c>
      <c r="H237">
        <f t="shared" si="3"/>
        <v>202.66706252304894</v>
      </c>
    </row>
    <row r="238" spans="7:8" x14ac:dyDescent="0.25">
      <c r="G238">
        <v>0.19800000000000001</v>
      </c>
      <c r="H238">
        <f t="shared" si="3"/>
        <v>201.77264418906867</v>
      </c>
    </row>
    <row r="239" spans="7:8" x14ac:dyDescent="0.25">
      <c r="G239">
        <v>0.19900000000000001</v>
      </c>
      <c r="H239">
        <f t="shared" si="3"/>
        <v>200.88593422599891</v>
      </c>
    </row>
    <row r="240" spans="7:8" x14ac:dyDescent="0.25">
      <c r="G240">
        <v>0.2</v>
      </c>
      <c r="H240">
        <f t="shared" si="3"/>
        <v>200.00683571482767</v>
      </c>
    </row>
    <row r="241" spans="7:8" x14ac:dyDescent="0.25">
      <c r="G241">
        <v>0.20100000000000001</v>
      </c>
      <c r="H241">
        <f t="shared" si="3"/>
        <v>199.13525331074342</v>
      </c>
    </row>
    <row r="242" spans="7:8" x14ac:dyDescent="0.25">
      <c r="G242">
        <v>0.20200000000000001</v>
      </c>
      <c r="H242">
        <f t="shared" si="3"/>
        <v>198.2710932122734</v>
      </c>
    </row>
    <row r="243" spans="7:8" x14ac:dyDescent="0.25">
      <c r="G243">
        <v>0.20300000000000001</v>
      </c>
      <c r="H243">
        <f t="shared" si="3"/>
        <v>197.41426313111916</v>
      </c>
    </row>
    <row r="244" spans="7:8" x14ac:dyDescent="0.25">
      <c r="G244">
        <v>0.20399999999999999</v>
      </c>
      <c r="H244">
        <f t="shared" si="3"/>
        <v>196.56467226267574</v>
      </c>
    </row>
    <row r="245" spans="7:8" x14ac:dyDescent="0.25">
      <c r="G245">
        <v>0.20499999999999999</v>
      </c>
      <c r="H245">
        <f t="shared" si="3"/>
        <v>195.72223125721371</v>
      </c>
    </row>
    <row r="246" spans="7:8" x14ac:dyDescent="0.25">
      <c r="G246">
        <v>0.20599999999999999</v>
      </c>
      <c r="H246">
        <f t="shared" si="3"/>
        <v>194.88685219170964</v>
      </c>
    </row>
    <row r="247" spans="7:8" x14ac:dyDescent="0.25">
      <c r="G247">
        <v>0.20699999999999999</v>
      </c>
      <c r="H247">
        <f t="shared" si="3"/>
        <v>194.05844854230634</v>
      </c>
    </row>
    <row r="248" spans="7:8" x14ac:dyDescent="0.25">
      <c r="G248">
        <v>0.20799999999999999</v>
      </c>
      <c r="H248">
        <f t="shared" si="3"/>
        <v>193.23693515739049</v>
      </c>
    </row>
    <row r="249" spans="7:8" x14ac:dyDescent="0.25">
      <c r="G249">
        <v>0.20899999999999999</v>
      </c>
      <c r="H249">
        <f t="shared" si="3"/>
        <v>192.42222823126733</v>
      </c>
    </row>
    <row r="250" spans="7:8" x14ac:dyDescent="0.25">
      <c r="G250">
        <v>0.21</v>
      </c>
      <c r="H250">
        <f t="shared" si="3"/>
        <v>191.61424527842362</v>
      </c>
    </row>
    <row r="251" spans="7:8" x14ac:dyDescent="0.25">
      <c r="G251">
        <v>0.21099999999999999</v>
      </c>
      <c r="H251">
        <f t="shared" si="3"/>
        <v>190.81290510835666</v>
      </c>
    </row>
    <row r="252" spans="7:8" x14ac:dyDescent="0.25">
      <c r="G252">
        <v>0.21199999999999999</v>
      </c>
      <c r="H252">
        <f t="shared" si="3"/>
        <v>190.01812780096321</v>
      </c>
    </row>
    <row r="253" spans="7:8" x14ac:dyDescent="0.25">
      <c r="G253">
        <v>0.21299999999999999</v>
      </c>
      <c r="H253">
        <f t="shared" si="3"/>
        <v>189.22983468246798</v>
      </c>
    </row>
    <row r="254" spans="7:8" x14ac:dyDescent="0.25">
      <c r="G254">
        <v>0.214</v>
      </c>
      <c r="H254">
        <f t="shared" si="3"/>
        <v>188.44794830188232</v>
      </c>
    </row>
    <row r="255" spans="7:8" x14ac:dyDescent="0.25">
      <c r="G255">
        <v>0.215</v>
      </c>
      <c r="H255">
        <f t="shared" si="3"/>
        <v>187.67239240797747</v>
      </c>
    </row>
    <row r="256" spans="7:8" x14ac:dyDescent="0.25">
      <c r="G256">
        <v>0.216</v>
      </c>
      <c r="H256">
        <f t="shared" si="3"/>
        <v>186.90309192676213</v>
      </c>
    </row>
    <row r="257" spans="7:8" x14ac:dyDescent="0.25">
      <c r="G257">
        <v>0.217</v>
      </c>
      <c r="H257">
        <f t="shared" si="3"/>
        <v>186.13997293944942</v>
      </c>
    </row>
    <row r="258" spans="7:8" x14ac:dyDescent="0.25">
      <c r="G258">
        <v>0.218</v>
      </c>
      <c r="H258">
        <f t="shared" si="3"/>
        <v>185.38296266090316</v>
      </c>
    </row>
    <row r="259" spans="7:8" x14ac:dyDescent="0.25">
      <c r="G259">
        <v>0.219</v>
      </c>
      <c r="H259">
        <f t="shared" si="3"/>
        <v>184.63198941854989</v>
      </c>
    </row>
    <row r="260" spans="7:8" x14ac:dyDescent="0.25">
      <c r="G260">
        <v>0.22</v>
      </c>
      <c r="H260">
        <f t="shared" si="3"/>
        <v>183.88698263174939</v>
      </c>
    </row>
    <row r="261" spans="7:8" x14ac:dyDescent="0.25">
      <c r="G261">
        <v>0.221</v>
      </c>
      <c r="H261">
        <f t="shared" si="3"/>
        <v>183.14787279160456</v>
      </c>
    </row>
    <row r="262" spans="7:8" x14ac:dyDescent="0.25">
      <c r="G262">
        <v>0.222</v>
      </c>
      <c r="H262">
        <f t="shared" si="3"/>
        <v>182.41459144121075</v>
      </c>
    </row>
    <row r="263" spans="7:8" x14ac:dyDescent="0.25">
      <c r="G263">
        <v>0.223</v>
      </c>
      <c r="H263">
        <f t="shared" si="3"/>
        <v>181.68707115632273</v>
      </c>
    </row>
    <row r="264" spans="7:8" x14ac:dyDescent="0.25">
      <c r="G264">
        <v>0.224</v>
      </c>
      <c r="H264">
        <f t="shared" si="3"/>
        <v>180.96524552643908</v>
      </c>
    </row>
    <row r="265" spans="7:8" x14ac:dyDescent="0.25">
      <c r="G265">
        <v>0.22500000000000001</v>
      </c>
      <c r="H265">
        <f t="shared" si="3"/>
        <v>180.24904913628615</v>
      </c>
    </row>
    <row r="266" spans="7:8" x14ac:dyDescent="0.25">
      <c r="G266">
        <v>0.22600000000000001</v>
      </c>
      <c r="H266">
        <f t="shared" si="3"/>
        <v>179.53841754769746</v>
      </c>
    </row>
    <row r="267" spans="7:8" x14ac:dyDescent="0.25">
      <c r="G267">
        <v>0.22700000000000001</v>
      </c>
      <c r="H267">
        <f t="shared" si="3"/>
        <v>178.83328728187573</v>
      </c>
    </row>
    <row r="268" spans="7:8" x14ac:dyDescent="0.25">
      <c r="G268">
        <v>0.22800000000000001</v>
      </c>
      <c r="H268">
        <f t="shared" si="3"/>
        <v>178.1335958020307</v>
      </c>
    </row>
    <row r="269" spans="7:8" x14ac:dyDescent="0.25">
      <c r="G269">
        <v>0.22900000000000001</v>
      </c>
      <c r="H269">
        <f t="shared" si="3"/>
        <v>177.43928149638052</v>
      </c>
    </row>
    <row r="270" spans="7:8" x14ac:dyDescent="0.25">
      <c r="G270">
        <v>0.23</v>
      </c>
      <c r="H270">
        <f t="shared" si="3"/>
        <v>176.75028366151349</v>
      </c>
    </row>
    <row r="271" spans="7:8" x14ac:dyDescent="0.25">
      <c r="G271">
        <v>0.23100000000000001</v>
      </c>
      <c r="H271">
        <f t="shared" si="3"/>
        <v>176.06654248609493</v>
      </c>
    </row>
    <row r="272" spans="7:8" x14ac:dyDescent="0.25">
      <c r="G272">
        <v>0.23200000000000001</v>
      </c>
      <c r="H272">
        <f t="shared" si="3"/>
        <v>175.38799903491707</v>
      </c>
    </row>
    <row r="273" spans="7:8" x14ac:dyDescent="0.25">
      <c r="G273">
        <v>0.23300000000000001</v>
      </c>
      <c r="H273">
        <f t="shared" si="3"/>
        <v>174.71459523327928</v>
      </c>
    </row>
    <row r="274" spans="7:8" x14ac:dyDescent="0.25">
      <c r="G274">
        <v>0.23400000000000001</v>
      </c>
      <c r="H274">
        <f t="shared" si="3"/>
        <v>174.04627385169374</v>
      </c>
    </row>
    <row r="275" spans="7:8" x14ac:dyDescent="0.25">
      <c r="G275">
        <v>0.23499999999999999</v>
      </c>
      <c r="H275">
        <f t="shared" si="3"/>
        <v>173.38297849090839</v>
      </c>
    </row>
    <row r="276" spans="7:8" x14ac:dyDescent="0.25">
      <c r="G276">
        <v>0.23599999999999999</v>
      </c>
      <c r="H276">
        <f t="shared" si="3"/>
        <v>172.72465356723762</v>
      </c>
    </row>
    <row r="277" spans="7:8" x14ac:dyDescent="0.25">
      <c r="G277">
        <v>0.23699999999999999</v>
      </c>
      <c r="H277">
        <f t="shared" si="3"/>
        <v>172.07124429819672</v>
      </c>
    </row>
    <row r="278" spans="7:8" x14ac:dyDescent="0.25">
      <c r="G278">
        <v>0.23799999999999999</v>
      </c>
      <c r="H278">
        <f t="shared" si="3"/>
        <v>171.42269668843193</v>
      </c>
    </row>
    <row r="279" spans="7:8" x14ac:dyDescent="0.25">
      <c r="G279">
        <v>0.23899999999999999</v>
      </c>
      <c r="H279">
        <f t="shared" si="3"/>
        <v>170.77895751593587</v>
      </c>
    </row>
    <row r="280" spans="7:8" x14ac:dyDescent="0.25">
      <c r="G280">
        <v>0.24</v>
      </c>
      <c r="H280">
        <f t="shared" si="3"/>
        <v>170.13997431854762</v>
      </c>
    </row>
    <row r="281" spans="7:8" x14ac:dyDescent="0.25">
      <c r="G281">
        <v>0.24099999999999999</v>
      </c>
      <c r="H281">
        <f t="shared" si="3"/>
        <v>169.50569538072708</v>
      </c>
    </row>
    <row r="282" spans="7:8" x14ac:dyDescent="0.25">
      <c r="G282">
        <v>0.24199999999999999</v>
      </c>
      <c r="H282">
        <f t="shared" si="3"/>
        <v>168.87606972059717</v>
      </c>
    </row>
    <row r="283" spans="7:8" x14ac:dyDescent="0.25">
      <c r="G283">
        <v>0.24299999999999999</v>
      </c>
      <c r="H283">
        <f t="shared" si="3"/>
        <v>168.25104707724907</v>
      </c>
    </row>
    <row r="284" spans="7:8" x14ac:dyDescent="0.25">
      <c r="G284">
        <v>0.24399999999999999</v>
      </c>
      <c r="H284">
        <f t="shared" si="3"/>
        <v>167.6305778983043</v>
      </c>
    </row>
    <row r="285" spans="7:8" x14ac:dyDescent="0.25">
      <c r="G285">
        <v>0.245</v>
      </c>
      <c r="H285">
        <f t="shared" si="3"/>
        <v>167.01461332772769</v>
      </c>
    </row>
    <row r="286" spans="7:8" x14ac:dyDescent="0.25">
      <c r="G286">
        <v>0.246</v>
      </c>
      <c r="H286">
        <f t="shared" si="3"/>
        <v>166.40310519388453</v>
      </c>
    </row>
    <row r="287" spans="7:8" x14ac:dyDescent="0.25">
      <c r="G287">
        <v>0.247</v>
      </c>
      <c r="H287">
        <f t="shared" si="3"/>
        <v>165.79600599783674</v>
      </c>
    </row>
    <row r="288" spans="7:8" x14ac:dyDescent="0.25">
      <c r="G288">
        <v>0.248</v>
      </c>
      <c r="H288">
        <f t="shared" si="3"/>
        <v>165.19326890187457</v>
      </c>
    </row>
    <row r="289" spans="7:8" x14ac:dyDescent="0.25">
      <c r="G289">
        <v>0.249</v>
      </c>
      <c r="H289">
        <f t="shared" si="3"/>
        <v>164.59484771827553</v>
      </c>
    </row>
    <row r="290" spans="7:8" x14ac:dyDescent="0.25">
      <c r="G290">
        <v>0.25</v>
      </c>
      <c r="H290">
        <f t="shared" si="3"/>
        <v>164.00069689828746</v>
      </c>
    </row>
    <row r="291" spans="7:8" x14ac:dyDescent="0.25">
      <c r="G291">
        <v>0.251</v>
      </c>
      <c r="H291">
        <f t="shared" si="3"/>
        <v>163.410771521329</v>
      </c>
    </row>
    <row r="292" spans="7:8" x14ac:dyDescent="0.25">
      <c r="G292">
        <v>0.252</v>
      </c>
      <c r="H292">
        <f t="shared" si="3"/>
        <v>162.82502728440508</v>
      </c>
    </row>
    <row r="293" spans="7:8" x14ac:dyDescent="0.25">
      <c r="G293">
        <v>0.253</v>
      </c>
      <c r="H293">
        <f t="shared" si="3"/>
        <v>162.24342049173006</v>
      </c>
    </row>
    <row r="294" spans="7:8" x14ac:dyDescent="0.25">
      <c r="G294">
        <v>0.254</v>
      </c>
      <c r="H294">
        <f t="shared" si="3"/>
        <v>161.66590804455521</v>
      </c>
    </row>
    <row r="295" spans="7:8" x14ac:dyDescent="0.25">
      <c r="G295">
        <v>0.255</v>
      </c>
      <c r="H295">
        <f t="shared" si="3"/>
        <v>161.09244743119541</v>
      </c>
    </row>
    <row r="296" spans="7:8" x14ac:dyDescent="0.25">
      <c r="G296">
        <v>0.25600000000000001</v>
      </c>
      <c r="H296">
        <f t="shared" si="3"/>
        <v>160.52299671725135</v>
      </c>
    </row>
    <row r="297" spans="7:8" x14ac:dyDescent="0.25">
      <c r="G297">
        <v>0.25700000000000001</v>
      </c>
      <c r="H297">
        <f t="shared" ref="H297:H360" si="4">D(G297,45)</f>
        <v>159.95751453602199</v>
      </c>
    </row>
    <row r="298" spans="7:8" x14ac:dyDescent="0.25">
      <c r="G298">
        <v>0.25800000000000001</v>
      </c>
      <c r="H298">
        <f t="shared" si="4"/>
        <v>159.39596007910424</v>
      </c>
    </row>
    <row r="299" spans="7:8" x14ac:dyDescent="0.25">
      <c r="G299">
        <v>0.25900000000000001</v>
      </c>
      <c r="H299">
        <f t="shared" si="4"/>
        <v>158.83829308717355</v>
      </c>
    </row>
    <row r="300" spans="7:8" x14ac:dyDescent="0.25">
      <c r="G300">
        <v>0.26</v>
      </c>
      <c r="H300">
        <f t="shared" si="4"/>
        <v>158.28447384094451</v>
      </c>
    </row>
    <row r="301" spans="7:8" x14ac:dyDescent="0.25">
      <c r="G301">
        <v>0.26100000000000001</v>
      </c>
      <c r="H301">
        <f t="shared" si="4"/>
        <v>157.73446315230484</v>
      </c>
    </row>
    <row r="302" spans="7:8" x14ac:dyDescent="0.25">
      <c r="G302">
        <v>0.26200000000000001</v>
      </c>
      <c r="H302">
        <f t="shared" si="4"/>
        <v>157.18822235562044</v>
      </c>
    </row>
    <row r="303" spans="7:8" x14ac:dyDescent="0.25">
      <c r="G303">
        <v>0.26300000000000001</v>
      </c>
      <c r="H303">
        <f t="shared" si="4"/>
        <v>156.64571329920662</v>
      </c>
    </row>
    <row r="304" spans="7:8" x14ac:dyDescent="0.25">
      <c r="G304">
        <v>0.26400000000000001</v>
      </c>
      <c r="H304">
        <f t="shared" si="4"/>
        <v>156.10689833696333</v>
      </c>
    </row>
    <row r="305" spans="7:8" x14ac:dyDescent="0.25">
      <c r="G305">
        <v>0.26500000000000001</v>
      </c>
      <c r="H305">
        <f t="shared" si="4"/>
        <v>155.57174032017011</v>
      </c>
    </row>
    <row r="306" spans="7:8" x14ac:dyDescent="0.25">
      <c r="G306">
        <v>0.26600000000000001</v>
      </c>
      <c r="H306">
        <f t="shared" si="4"/>
        <v>155.04020258943669</v>
      </c>
    </row>
    <row r="307" spans="7:8" x14ac:dyDescent="0.25">
      <c r="G307">
        <v>0.26700000000000002</v>
      </c>
      <c r="H307">
        <f t="shared" si="4"/>
        <v>154.5122489668058</v>
      </c>
    </row>
    <row r="308" spans="7:8" x14ac:dyDescent="0.25">
      <c r="G308">
        <v>0.26800000000000002</v>
      </c>
      <c r="H308">
        <f t="shared" si="4"/>
        <v>153.98784374800732</v>
      </c>
    </row>
    <row r="309" spans="7:8" x14ac:dyDescent="0.25">
      <c r="G309">
        <v>0.26900000000000002</v>
      </c>
      <c r="H309">
        <f t="shared" si="4"/>
        <v>153.4669516948575</v>
      </c>
    </row>
    <row r="310" spans="7:8" x14ac:dyDescent="0.25">
      <c r="G310">
        <v>0.27</v>
      </c>
      <c r="H310">
        <f t="shared" si="4"/>
        <v>152.94953802780151</v>
      </c>
    </row>
    <row r="311" spans="7:8" x14ac:dyDescent="0.25">
      <c r="G311">
        <v>0.27100000000000002</v>
      </c>
      <c r="H311">
        <f t="shared" si="4"/>
        <v>152.43556841859521</v>
      </c>
    </row>
    <row r="312" spans="7:8" x14ac:dyDescent="0.25">
      <c r="G312">
        <v>0.27200000000000002</v>
      </c>
      <c r="H312">
        <f t="shared" si="4"/>
        <v>151.9250089831263</v>
      </c>
    </row>
    <row r="313" spans="7:8" x14ac:dyDescent="0.25">
      <c r="G313">
        <v>0.27300000000000002</v>
      </c>
      <c r="H313">
        <f t="shared" si="4"/>
        <v>151.41782627436726</v>
      </c>
    </row>
    <row r="314" spans="7:8" x14ac:dyDescent="0.25">
      <c r="G314">
        <v>0.27400000000000002</v>
      </c>
      <c r="H314">
        <f t="shared" si="4"/>
        <v>150.91398727546073</v>
      </c>
    </row>
    <row r="315" spans="7:8" x14ac:dyDescent="0.25">
      <c r="G315">
        <v>0.27500000000000002</v>
      </c>
      <c r="H315">
        <f t="shared" si="4"/>
        <v>150.41345939293328</v>
      </c>
    </row>
    <row r="316" spans="7:8" x14ac:dyDescent="0.25">
      <c r="G316">
        <v>0.27600000000000002</v>
      </c>
      <c r="H316">
        <f t="shared" si="4"/>
        <v>149.91621045003438</v>
      </c>
    </row>
    <row r="317" spans="7:8" x14ac:dyDescent="0.25">
      <c r="G317">
        <v>0.27700000000000002</v>
      </c>
      <c r="H317">
        <f t="shared" si="4"/>
        <v>149.42220868020013</v>
      </c>
    </row>
    <row r="318" spans="7:8" x14ac:dyDescent="0.25">
      <c r="G318">
        <v>0.27800000000000002</v>
      </c>
      <c r="H318">
        <f t="shared" si="4"/>
        <v>148.9314227206352</v>
      </c>
    </row>
    <row r="319" spans="7:8" x14ac:dyDescent="0.25">
      <c r="G319">
        <v>0.27900000000000003</v>
      </c>
      <c r="H319">
        <f t="shared" si="4"/>
        <v>148.44382160601472</v>
      </c>
    </row>
    <row r="320" spans="7:8" x14ac:dyDescent="0.25">
      <c r="G320">
        <v>0.28000000000000003</v>
      </c>
      <c r="H320">
        <f t="shared" si="4"/>
        <v>147.95937476230011</v>
      </c>
    </row>
    <row r="321" spans="7:8" x14ac:dyDescent="0.25">
      <c r="G321">
        <v>0.28100000000000003</v>
      </c>
      <c r="H321">
        <f t="shared" si="4"/>
        <v>147.4780520006702</v>
      </c>
    </row>
    <row r="322" spans="7:8" x14ac:dyDescent="0.25">
      <c r="G322">
        <v>0.28199999999999997</v>
      </c>
      <c r="H322">
        <f t="shared" si="4"/>
        <v>146.99982351156046</v>
      </c>
    </row>
    <row r="323" spans="7:8" x14ac:dyDescent="0.25">
      <c r="G323">
        <v>0.28299999999999997</v>
      </c>
      <c r="H323">
        <f t="shared" si="4"/>
        <v>146.5246598588125</v>
      </c>
    </row>
    <row r="324" spans="7:8" x14ac:dyDescent="0.25">
      <c r="G324">
        <v>0.28399999999999997</v>
      </c>
      <c r="H324">
        <f t="shared" si="4"/>
        <v>146.05253197392921</v>
      </c>
    </row>
    <row r="325" spans="7:8" x14ac:dyDescent="0.25">
      <c r="G325">
        <v>0.28499999999999998</v>
      </c>
      <c r="H325">
        <f t="shared" si="4"/>
        <v>145.5834111504341</v>
      </c>
    </row>
    <row r="326" spans="7:8" x14ac:dyDescent="0.25">
      <c r="G326">
        <v>0.28599999999999998</v>
      </c>
      <c r="H326">
        <f t="shared" si="4"/>
        <v>145.11726903833164</v>
      </c>
    </row>
    <row r="327" spans="7:8" x14ac:dyDescent="0.25">
      <c r="G327">
        <v>0.28699999999999998</v>
      </c>
      <c r="H327">
        <f t="shared" si="4"/>
        <v>144.65407763866892</v>
      </c>
    </row>
    <row r="328" spans="7:8" x14ac:dyDescent="0.25">
      <c r="G328">
        <v>0.28799999999999998</v>
      </c>
      <c r="H328">
        <f t="shared" si="4"/>
        <v>144.19380929819323</v>
      </c>
    </row>
    <row r="329" spans="7:8" x14ac:dyDescent="0.25">
      <c r="G329">
        <v>0.28899999999999998</v>
      </c>
      <c r="H329">
        <f t="shared" si="4"/>
        <v>143.73643670410658</v>
      </c>
    </row>
    <row r="330" spans="7:8" x14ac:dyDescent="0.25">
      <c r="G330">
        <v>0.28999999999999998</v>
      </c>
      <c r="H330">
        <f t="shared" si="4"/>
        <v>143.28193287891352</v>
      </c>
    </row>
    <row r="331" spans="7:8" x14ac:dyDescent="0.25">
      <c r="G331">
        <v>0.29099999999999998</v>
      </c>
      <c r="H331">
        <f t="shared" si="4"/>
        <v>142.83027117536085</v>
      </c>
    </row>
    <row r="332" spans="7:8" x14ac:dyDescent="0.25">
      <c r="G332">
        <v>0.29199999999999998</v>
      </c>
      <c r="H332">
        <f t="shared" si="4"/>
        <v>142.38142527146692</v>
      </c>
    </row>
    <row r="333" spans="7:8" x14ac:dyDescent="0.25">
      <c r="G333">
        <v>0.29299999999999998</v>
      </c>
      <c r="H333">
        <f t="shared" si="4"/>
        <v>141.93536916563983</v>
      </c>
    </row>
    <row r="334" spans="7:8" x14ac:dyDescent="0.25">
      <c r="G334">
        <v>0.29399999999999998</v>
      </c>
      <c r="H334">
        <f t="shared" si="4"/>
        <v>141.49207717188099</v>
      </c>
    </row>
    <row r="335" spans="7:8" x14ac:dyDescent="0.25">
      <c r="G335">
        <v>0.29499999999999998</v>
      </c>
      <c r="H335">
        <f t="shared" si="4"/>
        <v>141.0515239150742</v>
      </c>
    </row>
    <row r="336" spans="7:8" x14ac:dyDescent="0.25">
      <c r="G336">
        <v>0.29599999999999999</v>
      </c>
      <c r="H336">
        <f t="shared" si="4"/>
        <v>140.61368432635683</v>
      </c>
    </row>
    <row r="337" spans="7:8" x14ac:dyDescent="0.25">
      <c r="G337">
        <v>0.29699999999999999</v>
      </c>
      <c r="H337">
        <f t="shared" si="4"/>
        <v>140.17853363857304</v>
      </c>
    </row>
    <row r="338" spans="7:8" x14ac:dyDescent="0.25">
      <c r="G338">
        <v>0.29799999999999999</v>
      </c>
      <c r="H338">
        <f t="shared" si="4"/>
        <v>139.74604738180551</v>
      </c>
    </row>
    <row r="339" spans="7:8" x14ac:dyDescent="0.25">
      <c r="G339">
        <v>0.29899999999999999</v>
      </c>
      <c r="H339">
        <f t="shared" si="4"/>
        <v>139.31620137898651</v>
      </c>
    </row>
    <row r="340" spans="7:8" x14ac:dyDescent="0.25">
      <c r="G340">
        <v>0.3</v>
      </c>
      <c r="H340">
        <f t="shared" si="4"/>
        <v>138.88897174158328</v>
      </c>
    </row>
    <row r="341" spans="7:8" x14ac:dyDescent="0.25">
      <c r="G341">
        <v>0.30099999999999999</v>
      </c>
      <c r="H341">
        <f t="shared" si="4"/>
        <v>138.46433486536208</v>
      </c>
    </row>
    <row r="342" spans="7:8" x14ac:dyDescent="0.25">
      <c r="G342">
        <v>0.30199999999999999</v>
      </c>
      <c r="H342">
        <f t="shared" si="4"/>
        <v>138.04226742622058</v>
      </c>
    </row>
    <row r="343" spans="7:8" x14ac:dyDescent="0.25">
      <c r="G343">
        <v>0.30299999999999999</v>
      </c>
      <c r="H343">
        <f t="shared" si="4"/>
        <v>137.62274637609713</v>
      </c>
    </row>
    <row r="344" spans="7:8" x14ac:dyDescent="0.25">
      <c r="G344">
        <v>0.30399999999999999</v>
      </c>
      <c r="H344">
        <f t="shared" si="4"/>
        <v>137.20574893894701</v>
      </c>
    </row>
    <row r="345" spans="7:8" x14ac:dyDescent="0.25">
      <c r="G345">
        <v>0.30499999999999999</v>
      </c>
      <c r="H345">
        <f t="shared" si="4"/>
        <v>136.79125260678981</v>
      </c>
    </row>
    <row r="346" spans="7:8" x14ac:dyDescent="0.25">
      <c r="G346">
        <v>0.30599999999999999</v>
      </c>
      <c r="H346">
        <f t="shared" si="4"/>
        <v>136.37923513582368</v>
      </c>
    </row>
    <row r="347" spans="7:8" x14ac:dyDescent="0.25">
      <c r="G347">
        <v>0.307</v>
      </c>
      <c r="H347">
        <f t="shared" si="4"/>
        <v>135.96967454260704</v>
      </c>
    </row>
    <row r="348" spans="7:8" x14ac:dyDescent="0.25">
      <c r="G348">
        <v>0.308</v>
      </c>
      <c r="H348">
        <f t="shared" si="4"/>
        <v>135.56254910030344</v>
      </c>
    </row>
    <row r="349" spans="7:8" x14ac:dyDescent="0.25">
      <c r="G349">
        <v>0.309</v>
      </c>
      <c r="H349">
        <f t="shared" si="4"/>
        <v>135.15783733499316</v>
      </c>
    </row>
    <row r="350" spans="7:8" x14ac:dyDescent="0.25">
      <c r="G350">
        <v>0.31</v>
      </c>
      <c r="H350">
        <f t="shared" si="4"/>
        <v>134.75551802204475</v>
      </c>
    </row>
    <row r="351" spans="7:8" x14ac:dyDescent="0.25">
      <c r="G351">
        <v>0.311</v>
      </c>
      <c r="H351">
        <f t="shared" si="4"/>
        <v>134.35557018254974</v>
      </c>
    </row>
    <row r="352" spans="7:8" x14ac:dyDescent="0.25">
      <c r="G352">
        <v>0.312</v>
      </c>
      <c r="H352">
        <f t="shared" si="4"/>
        <v>133.95797307981672</v>
      </c>
    </row>
    <row r="353" spans="7:8" x14ac:dyDescent="0.25">
      <c r="G353">
        <v>0.313</v>
      </c>
      <c r="H353">
        <f t="shared" si="4"/>
        <v>133.56270621592498</v>
      </c>
    </row>
    <row r="354" spans="7:8" x14ac:dyDescent="0.25">
      <c r="G354">
        <v>0.314</v>
      </c>
      <c r="H354">
        <f t="shared" si="4"/>
        <v>133.16974932833577</v>
      </c>
    </row>
    <row r="355" spans="7:8" x14ac:dyDescent="0.25">
      <c r="G355">
        <v>0.315</v>
      </c>
      <c r="H355">
        <f t="shared" si="4"/>
        <v>132.77908238656053</v>
      </c>
    </row>
    <row r="356" spans="7:8" x14ac:dyDescent="0.25">
      <c r="G356">
        <v>0.316</v>
      </c>
      <c r="H356">
        <f t="shared" si="4"/>
        <v>132.39068558888425</v>
      </c>
    </row>
    <row r="357" spans="7:8" x14ac:dyDescent="0.25">
      <c r="G357">
        <v>0.317</v>
      </c>
      <c r="H357">
        <f t="shared" si="4"/>
        <v>132.00453935914518</v>
      </c>
    </row>
    <row r="358" spans="7:8" x14ac:dyDescent="0.25">
      <c r="G358">
        <v>0.318</v>
      </c>
      <c r="H358">
        <f t="shared" si="4"/>
        <v>131.62062434356511</v>
      </c>
    </row>
    <row r="359" spans="7:8" x14ac:dyDescent="0.25">
      <c r="G359">
        <v>0.31900000000000001</v>
      </c>
      <c r="H359">
        <f t="shared" si="4"/>
        <v>131.23892140763607</v>
      </c>
    </row>
    <row r="360" spans="7:8" x14ac:dyDescent="0.25">
      <c r="G360">
        <v>0.32</v>
      </c>
      <c r="H360">
        <f t="shared" si="4"/>
        <v>130.85941163305509</v>
      </c>
    </row>
    <row r="361" spans="7:8" x14ac:dyDescent="0.25">
      <c r="G361">
        <v>0.32100000000000001</v>
      </c>
      <c r="H361">
        <f t="shared" ref="H361:H424" si="5">D(G361,45)</f>
        <v>130.48207631471192</v>
      </c>
    </row>
    <row r="362" spans="7:8" x14ac:dyDescent="0.25">
      <c r="G362">
        <v>0.32200000000000001</v>
      </c>
      <c r="H362">
        <f t="shared" si="5"/>
        <v>130.10689695772504</v>
      </c>
    </row>
    <row r="363" spans="7:8" x14ac:dyDescent="0.25">
      <c r="G363">
        <v>0.32300000000000001</v>
      </c>
      <c r="H363">
        <f t="shared" si="5"/>
        <v>129.73385527452749</v>
      </c>
    </row>
    <row r="364" spans="7:8" x14ac:dyDescent="0.25">
      <c r="G364">
        <v>0.32400000000000001</v>
      </c>
      <c r="H364">
        <f t="shared" si="5"/>
        <v>129.3629331819987</v>
      </c>
    </row>
    <row r="365" spans="7:8" x14ac:dyDescent="0.25">
      <c r="G365">
        <v>0.32500000000000001</v>
      </c>
      <c r="H365">
        <f t="shared" si="5"/>
        <v>128.99411279864631</v>
      </c>
    </row>
    <row r="366" spans="7:8" x14ac:dyDescent="0.25">
      <c r="G366">
        <v>0.32600000000000001</v>
      </c>
      <c r="H366">
        <f t="shared" si="5"/>
        <v>128.62737644183008</v>
      </c>
    </row>
    <row r="367" spans="7:8" x14ac:dyDescent="0.25">
      <c r="G367">
        <v>0.32700000000000001</v>
      </c>
      <c r="H367">
        <f t="shared" si="5"/>
        <v>128.26270662503379</v>
      </c>
    </row>
    <row r="368" spans="7:8" x14ac:dyDescent="0.25">
      <c r="G368">
        <v>0.32800000000000001</v>
      </c>
      <c r="H368">
        <f t="shared" si="5"/>
        <v>127.90008605518076</v>
      </c>
    </row>
    <row r="369" spans="7:8" x14ac:dyDescent="0.25">
      <c r="G369">
        <v>0.32900000000000001</v>
      </c>
      <c r="H369">
        <f t="shared" si="5"/>
        <v>127.53949762999248</v>
      </c>
    </row>
    <row r="370" spans="7:8" x14ac:dyDescent="0.25">
      <c r="G370">
        <v>0.33</v>
      </c>
      <c r="H370">
        <f t="shared" si="5"/>
        <v>127.18092443538976</v>
      </c>
    </row>
    <row r="371" spans="7:8" x14ac:dyDescent="0.25">
      <c r="G371">
        <v>0.33100000000000002</v>
      </c>
      <c r="H371">
        <f t="shared" si="5"/>
        <v>126.82434974293675</v>
      </c>
    </row>
    <row r="372" spans="7:8" x14ac:dyDescent="0.25">
      <c r="G372">
        <v>0.33200000000000002</v>
      </c>
      <c r="H372">
        <f t="shared" si="5"/>
        <v>126.46975700732442</v>
      </c>
    </row>
    <row r="373" spans="7:8" x14ac:dyDescent="0.25">
      <c r="G373">
        <v>0.33300000000000002</v>
      </c>
      <c r="H373">
        <f t="shared" si="5"/>
        <v>126.11712986389651</v>
      </c>
    </row>
    <row r="374" spans="7:8" x14ac:dyDescent="0.25">
      <c r="G374">
        <v>0.33400000000000002</v>
      </c>
      <c r="H374">
        <f t="shared" si="5"/>
        <v>125.7664521262129</v>
      </c>
    </row>
    <row r="375" spans="7:8" x14ac:dyDescent="0.25">
      <c r="G375">
        <v>0.33500000000000002</v>
      </c>
      <c r="H375">
        <f t="shared" si="5"/>
        <v>125.41770778365347</v>
      </c>
    </row>
    <row r="376" spans="7:8" x14ac:dyDescent="0.25">
      <c r="G376">
        <v>0.33600000000000002</v>
      </c>
      <c r="H376">
        <f t="shared" si="5"/>
        <v>125.07088099905916</v>
      </c>
    </row>
    <row r="377" spans="7:8" x14ac:dyDescent="0.25">
      <c r="G377">
        <v>0.33700000000000002</v>
      </c>
      <c r="H377">
        <f t="shared" si="5"/>
        <v>124.72595610641125</v>
      </c>
    </row>
    <row r="378" spans="7:8" x14ac:dyDescent="0.25">
      <c r="G378">
        <v>0.33800000000000002</v>
      </c>
      <c r="H378">
        <f t="shared" si="5"/>
        <v>124.38291760854639</v>
      </c>
    </row>
    <row r="379" spans="7:8" x14ac:dyDescent="0.25">
      <c r="G379">
        <v>0.33900000000000002</v>
      </c>
      <c r="H379">
        <f t="shared" si="5"/>
        <v>124.04175017490903</v>
      </c>
    </row>
    <row r="380" spans="7:8" x14ac:dyDescent="0.25">
      <c r="G380">
        <v>0.34</v>
      </c>
      <c r="H380">
        <f t="shared" si="5"/>
        <v>123.70243863933818</v>
      </c>
    </row>
    <row r="381" spans="7:8" x14ac:dyDescent="0.25">
      <c r="G381">
        <v>0.34100000000000003</v>
      </c>
      <c r="H381">
        <f t="shared" si="5"/>
        <v>123.36496799788945</v>
      </c>
    </row>
    <row r="382" spans="7:8" x14ac:dyDescent="0.25">
      <c r="G382">
        <v>0.34200000000000003</v>
      </c>
      <c r="H382">
        <f t="shared" si="5"/>
        <v>123.02932340669128</v>
      </c>
    </row>
    <row r="383" spans="7:8" x14ac:dyDescent="0.25">
      <c r="G383">
        <v>0.34300000000000003</v>
      </c>
      <c r="H383">
        <f t="shared" si="5"/>
        <v>122.69549017983499</v>
      </c>
    </row>
    <row r="384" spans="7:8" x14ac:dyDescent="0.25">
      <c r="G384">
        <v>0.34399999999999997</v>
      </c>
      <c r="H384">
        <f t="shared" si="5"/>
        <v>122.36345378729676</v>
      </c>
    </row>
    <row r="385" spans="7:8" x14ac:dyDescent="0.25">
      <c r="G385">
        <v>0.34499999999999997</v>
      </c>
      <c r="H385">
        <f t="shared" si="5"/>
        <v>122.03319985289355</v>
      </c>
    </row>
    <row r="386" spans="7:8" x14ac:dyDescent="0.25">
      <c r="G386">
        <v>0.34599999999999997</v>
      </c>
      <c r="H386">
        <f t="shared" si="5"/>
        <v>121.7047141522691</v>
      </c>
    </row>
    <row r="387" spans="7:8" x14ac:dyDescent="0.25">
      <c r="G387">
        <v>0.34699999999999998</v>
      </c>
      <c r="H387">
        <f t="shared" si="5"/>
        <v>121.37798261091292</v>
      </c>
    </row>
    <row r="388" spans="7:8" x14ac:dyDescent="0.25">
      <c r="G388">
        <v>0.34799999999999998</v>
      </c>
      <c r="H388">
        <f t="shared" si="5"/>
        <v>121.05299130220813</v>
      </c>
    </row>
    <row r="389" spans="7:8" x14ac:dyDescent="0.25">
      <c r="G389">
        <v>0.34899999999999998</v>
      </c>
      <c r="H389">
        <f t="shared" si="5"/>
        <v>120.72972644551071</v>
      </c>
    </row>
    <row r="390" spans="7:8" x14ac:dyDescent="0.25">
      <c r="G390">
        <v>0.35</v>
      </c>
      <c r="H390">
        <f t="shared" si="5"/>
        <v>120.40817440425801</v>
      </c>
    </row>
    <row r="391" spans="7:8" x14ac:dyDescent="0.25">
      <c r="G391">
        <v>0.35099999999999998</v>
      </c>
      <c r="H391">
        <f t="shared" si="5"/>
        <v>120.08832168410608</v>
      </c>
    </row>
    <row r="392" spans="7:8" x14ac:dyDescent="0.25">
      <c r="G392">
        <v>0.35199999999999998</v>
      </c>
      <c r="H392">
        <f t="shared" si="5"/>
        <v>119.77015493109566</v>
      </c>
    </row>
    <row r="393" spans="7:8" x14ac:dyDescent="0.25">
      <c r="G393">
        <v>0.35299999999999998</v>
      </c>
      <c r="H393">
        <f t="shared" si="5"/>
        <v>119.45366092984619</v>
      </c>
    </row>
    <row r="394" spans="7:8" x14ac:dyDescent="0.25">
      <c r="G394">
        <v>0.35399999999999998</v>
      </c>
      <c r="H394">
        <f t="shared" si="5"/>
        <v>119.13882660177752</v>
      </c>
    </row>
    <row r="395" spans="7:8" x14ac:dyDescent="0.25">
      <c r="G395">
        <v>0.35499999999999998</v>
      </c>
      <c r="H395">
        <f t="shared" si="5"/>
        <v>118.82563900335863</v>
      </c>
    </row>
    <row r="396" spans="7:8" x14ac:dyDescent="0.25">
      <c r="G396">
        <v>0.35599999999999998</v>
      </c>
      <c r="H396">
        <f t="shared" si="5"/>
        <v>118.51408532438282</v>
      </c>
    </row>
    <row r="397" spans="7:8" x14ac:dyDescent="0.25">
      <c r="G397">
        <v>0.35699999999999998</v>
      </c>
      <c r="H397">
        <f t="shared" si="5"/>
        <v>118.20415288626853</v>
      </c>
    </row>
    <row r="398" spans="7:8" x14ac:dyDescent="0.25">
      <c r="G398">
        <v>0.35799999999999998</v>
      </c>
      <c r="H398">
        <f t="shared" si="5"/>
        <v>117.89582914038745</v>
      </c>
    </row>
    <row r="399" spans="7:8" x14ac:dyDescent="0.25">
      <c r="G399">
        <v>0.35899999999999999</v>
      </c>
      <c r="H399">
        <f t="shared" si="5"/>
        <v>117.58910166641603</v>
      </c>
    </row>
    <row r="400" spans="7:8" x14ac:dyDescent="0.25">
      <c r="G400">
        <v>0.36</v>
      </c>
      <c r="H400">
        <f t="shared" si="5"/>
        <v>117.28395817071248</v>
      </c>
    </row>
    <row r="401" spans="7:8" x14ac:dyDescent="0.25">
      <c r="G401">
        <v>0.36099999999999999</v>
      </c>
      <c r="H401">
        <f t="shared" si="5"/>
        <v>116.98038648471838</v>
      </c>
    </row>
    <row r="402" spans="7:8" x14ac:dyDescent="0.25">
      <c r="G402">
        <v>0.36199999999999999</v>
      </c>
      <c r="H402">
        <f t="shared" si="5"/>
        <v>116.67837456338417</v>
      </c>
    </row>
    <row r="403" spans="7:8" x14ac:dyDescent="0.25">
      <c r="G403">
        <v>0.36299999999999999</v>
      </c>
      <c r="H403">
        <f t="shared" si="5"/>
        <v>116.37791048361763</v>
      </c>
    </row>
    <row r="404" spans="7:8" x14ac:dyDescent="0.25">
      <c r="G404">
        <v>0.36399999999999999</v>
      </c>
      <c r="H404">
        <f t="shared" si="5"/>
        <v>116.07898244275606</v>
      </c>
    </row>
    <row r="405" spans="7:8" x14ac:dyDescent="0.25">
      <c r="G405">
        <v>0.36499999999999999</v>
      </c>
      <c r="H405">
        <f t="shared" si="5"/>
        <v>115.78157875706071</v>
      </c>
    </row>
    <row r="406" spans="7:8" x14ac:dyDescent="0.25">
      <c r="G406">
        <v>0.36599999999999999</v>
      </c>
      <c r="H406">
        <f t="shared" si="5"/>
        <v>115.48568786023404</v>
      </c>
    </row>
    <row r="407" spans="7:8" x14ac:dyDescent="0.25">
      <c r="G407">
        <v>0.36699999999999999</v>
      </c>
      <c r="H407">
        <f t="shared" si="5"/>
        <v>115.1912983019588</v>
      </c>
    </row>
    <row r="408" spans="7:8" x14ac:dyDescent="0.25">
      <c r="G408">
        <v>0.36799999999999999</v>
      </c>
      <c r="H408">
        <f t="shared" si="5"/>
        <v>114.89839874645806</v>
      </c>
    </row>
    <row r="409" spans="7:8" x14ac:dyDescent="0.25">
      <c r="G409">
        <v>0.36899999999999999</v>
      </c>
      <c r="H409">
        <f t="shared" si="5"/>
        <v>114.6069779710771</v>
      </c>
    </row>
    <row r="410" spans="7:8" x14ac:dyDescent="0.25">
      <c r="G410">
        <v>0.37</v>
      </c>
      <c r="H410">
        <f t="shared" si="5"/>
        <v>114.31702486488636</v>
      </c>
    </row>
    <row r="411" spans="7:8" x14ac:dyDescent="0.25">
      <c r="G411">
        <v>0.371</v>
      </c>
      <c r="H411">
        <f t="shared" si="5"/>
        <v>114.02852842730428</v>
      </c>
    </row>
    <row r="412" spans="7:8" x14ac:dyDescent="0.25">
      <c r="G412">
        <v>0.372</v>
      </c>
      <c r="H412">
        <f t="shared" si="5"/>
        <v>113.74147776674</v>
      </c>
    </row>
    <row r="413" spans="7:8" x14ac:dyDescent="0.25">
      <c r="G413">
        <v>0.373</v>
      </c>
      <c r="H413">
        <f t="shared" si="5"/>
        <v>113.45586209925723</v>
      </c>
    </row>
    <row r="414" spans="7:8" x14ac:dyDescent="0.25">
      <c r="G414">
        <v>0.374</v>
      </c>
      <c r="H414">
        <f t="shared" si="5"/>
        <v>113.17167074725627</v>
      </c>
    </row>
    <row r="415" spans="7:8" x14ac:dyDescent="0.25">
      <c r="G415">
        <v>0.375</v>
      </c>
      <c r="H415">
        <f t="shared" si="5"/>
        <v>112.88889313817573</v>
      </c>
    </row>
    <row r="416" spans="7:8" x14ac:dyDescent="0.25">
      <c r="G416">
        <v>0.376</v>
      </c>
      <c r="H416">
        <f t="shared" si="5"/>
        <v>112.60751880321288</v>
      </c>
    </row>
    <row r="417" spans="7:8" x14ac:dyDescent="0.25">
      <c r="G417">
        <v>0.377</v>
      </c>
      <c r="H417">
        <f t="shared" si="5"/>
        <v>112.32753737606259</v>
      </c>
    </row>
    <row r="418" spans="7:8" x14ac:dyDescent="0.25">
      <c r="G418">
        <v>0.378</v>
      </c>
      <c r="H418">
        <f t="shared" si="5"/>
        <v>112.04893859167504</v>
      </c>
    </row>
    <row r="419" spans="7:8" x14ac:dyDescent="0.25">
      <c r="G419">
        <v>0.379</v>
      </c>
      <c r="H419">
        <f t="shared" si="5"/>
        <v>111.77171228503006</v>
      </c>
    </row>
    <row r="420" spans="7:8" x14ac:dyDescent="0.25">
      <c r="G420">
        <v>0.38</v>
      </c>
      <c r="H420">
        <f t="shared" si="5"/>
        <v>111.49584838993022</v>
      </c>
    </row>
    <row r="421" spans="7:8" x14ac:dyDescent="0.25">
      <c r="G421">
        <v>0.38100000000000001</v>
      </c>
      <c r="H421">
        <f t="shared" si="5"/>
        <v>111.22133693781065</v>
      </c>
    </row>
    <row r="422" spans="7:8" x14ac:dyDescent="0.25">
      <c r="G422">
        <v>0.38200000000000001</v>
      </c>
      <c r="H422">
        <f t="shared" si="5"/>
        <v>110.94816805656613</v>
      </c>
    </row>
    <row r="423" spans="7:8" x14ac:dyDescent="0.25">
      <c r="G423">
        <v>0.38300000000000001</v>
      </c>
      <c r="H423">
        <f t="shared" si="5"/>
        <v>110.67633196939498</v>
      </c>
    </row>
    <row r="424" spans="7:8" x14ac:dyDescent="0.25">
      <c r="G424">
        <v>0.38400000000000001</v>
      </c>
      <c r="H424">
        <f t="shared" si="5"/>
        <v>110.40581899365897</v>
      </c>
    </row>
    <row r="425" spans="7:8" x14ac:dyDescent="0.25">
      <c r="G425">
        <v>0.38500000000000001</v>
      </c>
      <c r="H425">
        <f t="shared" ref="H425:H488" si="6">D(G425,45)</f>
        <v>110.13661953975962</v>
      </c>
    </row>
    <row r="426" spans="7:8" x14ac:dyDescent="0.25">
      <c r="G426">
        <v>0.38600000000000001</v>
      </c>
      <c r="H426">
        <f t="shared" si="6"/>
        <v>109.86872411003134</v>
      </c>
    </row>
    <row r="427" spans="7:8" x14ac:dyDescent="0.25">
      <c r="G427">
        <v>0.38700000000000001</v>
      </c>
      <c r="H427">
        <f t="shared" si="6"/>
        <v>109.60212329764852</v>
      </c>
    </row>
    <row r="428" spans="7:8" x14ac:dyDescent="0.25">
      <c r="G428">
        <v>0.38800000000000001</v>
      </c>
      <c r="H428">
        <f t="shared" si="6"/>
        <v>109.33680778554924</v>
      </c>
    </row>
    <row r="429" spans="7:8" x14ac:dyDescent="0.25">
      <c r="G429">
        <v>0.38900000000000001</v>
      </c>
      <c r="H429">
        <f t="shared" si="6"/>
        <v>109.07276834537426</v>
      </c>
    </row>
    <row r="430" spans="7:8" x14ac:dyDescent="0.25">
      <c r="G430">
        <v>0.39</v>
      </c>
      <c r="H430">
        <f t="shared" si="6"/>
        <v>108.80999583642</v>
      </c>
    </row>
    <row r="431" spans="7:8" x14ac:dyDescent="0.25">
      <c r="G431">
        <v>0.39100000000000001</v>
      </c>
      <c r="H431">
        <f t="shared" si="6"/>
        <v>108.54848120460701</v>
      </c>
    </row>
    <row r="432" spans="7:8" x14ac:dyDescent="0.25">
      <c r="G432">
        <v>0.39200000000000002</v>
      </c>
      <c r="H432">
        <f t="shared" si="6"/>
        <v>108.28821548146242</v>
      </c>
    </row>
    <row r="433" spans="7:8" x14ac:dyDescent="0.25">
      <c r="G433">
        <v>0.39300000000000002</v>
      </c>
      <c r="H433">
        <f t="shared" si="6"/>
        <v>108.02918978311672</v>
      </c>
    </row>
    <row r="434" spans="7:8" x14ac:dyDescent="0.25">
      <c r="G434">
        <v>0.39400000000000002</v>
      </c>
      <c r="H434">
        <f t="shared" si="6"/>
        <v>107.77139530931504</v>
      </c>
    </row>
    <row r="435" spans="7:8" x14ac:dyDescent="0.25">
      <c r="G435">
        <v>0.39500000000000002</v>
      </c>
      <c r="H435">
        <f t="shared" si="6"/>
        <v>107.51482334244103</v>
      </c>
    </row>
    <row r="436" spans="7:8" x14ac:dyDescent="0.25">
      <c r="G436">
        <v>0.39600000000000002</v>
      </c>
      <c r="H436">
        <f t="shared" si="6"/>
        <v>107.25946524655515</v>
      </c>
    </row>
    <row r="437" spans="7:8" x14ac:dyDescent="0.25">
      <c r="G437">
        <v>0.39700000000000002</v>
      </c>
      <c r="H437">
        <f t="shared" si="6"/>
        <v>107.0053124664464</v>
      </c>
    </row>
    <row r="438" spans="7:8" x14ac:dyDescent="0.25">
      <c r="G438">
        <v>0.39800000000000002</v>
      </c>
      <c r="H438">
        <f t="shared" si="6"/>
        <v>106.7523565266963</v>
      </c>
    </row>
    <row r="439" spans="7:8" x14ac:dyDescent="0.25">
      <c r="G439">
        <v>0.39900000000000002</v>
      </c>
      <c r="H439">
        <f t="shared" si="6"/>
        <v>106.50058903075674</v>
      </c>
    </row>
    <row r="440" spans="7:8" x14ac:dyDescent="0.25">
      <c r="G440">
        <v>0.4</v>
      </c>
      <c r="H440">
        <f t="shared" si="6"/>
        <v>106.25000166003952</v>
      </c>
    </row>
    <row r="441" spans="7:8" x14ac:dyDescent="0.25">
      <c r="G441">
        <v>0.40100000000000002</v>
      </c>
      <c r="H441">
        <f t="shared" si="6"/>
        <v>106.00058617301927</v>
      </c>
    </row>
    <row r="442" spans="7:8" x14ac:dyDescent="0.25">
      <c r="G442">
        <v>0.40200000000000002</v>
      </c>
      <c r="H442">
        <f t="shared" si="6"/>
        <v>105.75233440434825</v>
      </c>
    </row>
    <row r="443" spans="7:8" x14ac:dyDescent="0.25">
      <c r="G443">
        <v>0.40300000000000002</v>
      </c>
      <c r="H443">
        <f t="shared" si="6"/>
        <v>105.50523826398334</v>
      </c>
    </row>
    <row r="444" spans="7:8" x14ac:dyDescent="0.25">
      <c r="G444">
        <v>0.40400000000000003</v>
      </c>
      <c r="H444">
        <f t="shared" si="6"/>
        <v>105.25928973632449</v>
      </c>
    </row>
    <row r="445" spans="7:8" x14ac:dyDescent="0.25">
      <c r="G445">
        <v>0.40500000000000003</v>
      </c>
      <c r="H445">
        <f t="shared" si="6"/>
        <v>105.01448087936548</v>
      </c>
    </row>
    <row r="446" spans="7:8" x14ac:dyDescent="0.25">
      <c r="G446">
        <v>0.40600000000000003</v>
      </c>
      <c r="H446">
        <f t="shared" si="6"/>
        <v>104.77080382385626</v>
      </c>
    </row>
    <row r="447" spans="7:8" x14ac:dyDescent="0.25">
      <c r="G447">
        <v>0.40699999999999997</v>
      </c>
      <c r="H447">
        <f t="shared" si="6"/>
        <v>104.52825077247603</v>
      </c>
    </row>
    <row r="448" spans="7:8" x14ac:dyDescent="0.25">
      <c r="G448">
        <v>0.40799999999999997</v>
      </c>
      <c r="H448">
        <f t="shared" si="6"/>
        <v>104.28681399901794</v>
      </c>
    </row>
    <row r="449" spans="7:8" x14ac:dyDescent="0.25">
      <c r="G449">
        <v>0.40899999999999997</v>
      </c>
      <c r="H449">
        <f t="shared" si="6"/>
        <v>104.04648584758438</v>
      </c>
    </row>
    <row r="450" spans="7:8" x14ac:dyDescent="0.25">
      <c r="G450">
        <v>0.41</v>
      </c>
      <c r="H450">
        <f t="shared" si="6"/>
        <v>103.80725873179424</v>
      </c>
    </row>
    <row r="451" spans="7:8" x14ac:dyDescent="0.25">
      <c r="G451">
        <v>0.41099999999999998</v>
      </c>
      <c r="H451">
        <f t="shared" si="6"/>
        <v>103.56912513399885</v>
      </c>
    </row>
    <row r="452" spans="7:8" x14ac:dyDescent="0.25">
      <c r="G452">
        <v>0.41199999999999998</v>
      </c>
      <c r="H452">
        <f t="shared" si="6"/>
        <v>103.33207760451057</v>
      </c>
    </row>
    <row r="453" spans="7:8" x14ac:dyDescent="0.25">
      <c r="G453">
        <v>0.41299999999999998</v>
      </c>
      <c r="H453">
        <f t="shared" si="6"/>
        <v>103.09610876083975</v>
      </c>
    </row>
    <row r="454" spans="7:8" x14ac:dyDescent="0.25">
      <c r="G454">
        <v>0.41399999999999998</v>
      </c>
      <c r="H454">
        <f t="shared" si="6"/>
        <v>102.8612112869438</v>
      </c>
    </row>
    <row r="455" spans="7:8" x14ac:dyDescent="0.25">
      <c r="G455">
        <v>0.41499999999999998</v>
      </c>
      <c r="H455">
        <f t="shared" si="6"/>
        <v>102.62737793248428</v>
      </c>
    </row>
    <row r="456" spans="7:8" x14ac:dyDescent="0.25">
      <c r="G456">
        <v>0.41599999999999998</v>
      </c>
      <c r="H456">
        <f t="shared" si="6"/>
        <v>102.39460151209548</v>
      </c>
    </row>
    <row r="457" spans="7:8" x14ac:dyDescent="0.25">
      <c r="G457">
        <v>0.41699999999999998</v>
      </c>
      <c r="H457">
        <f t="shared" si="6"/>
        <v>102.16287490466185</v>
      </c>
    </row>
    <row r="458" spans="7:8" x14ac:dyDescent="0.25">
      <c r="G458">
        <v>0.41799999999999998</v>
      </c>
      <c r="H458">
        <f t="shared" si="6"/>
        <v>101.93219105260503</v>
      </c>
    </row>
    <row r="459" spans="7:8" x14ac:dyDescent="0.25">
      <c r="G459">
        <v>0.41899999999999998</v>
      </c>
      <c r="H459">
        <f t="shared" si="6"/>
        <v>101.70254296118092</v>
      </c>
    </row>
    <row r="460" spans="7:8" x14ac:dyDescent="0.25">
      <c r="G460">
        <v>0.42</v>
      </c>
      <c r="H460">
        <f t="shared" si="6"/>
        <v>101.47392369778505</v>
      </c>
    </row>
    <row r="461" spans="7:8" x14ac:dyDescent="0.25">
      <c r="G461">
        <v>0.42099999999999999</v>
      </c>
      <c r="H461">
        <f t="shared" si="6"/>
        <v>101.24632639126794</v>
      </c>
    </row>
    <row r="462" spans="7:8" x14ac:dyDescent="0.25">
      <c r="G462">
        <v>0.42199999999999999</v>
      </c>
      <c r="H462">
        <f t="shared" si="6"/>
        <v>101.01974423125883</v>
      </c>
    </row>
    <row r="463" spans="7:8" x14ac:dyDescent="0.25">
      <c r="G463">
        <v>0.42299999999999999</v>
      </c>
      <c r="H463">
        <f t="shared" si="6"/>
        <v>100.79417046749872</v>
      </c>
    </row>
    <row r="464" spans="7:8" x14ac:dyDescent="0.25">
      <c r="G464">
        <v>0.42399999999999999</v>
      </c>
      <c r="H464">
        <f t="shared" si="6"/>
        <v>100.56959840918206</v>
      </c>
    </row>
    <row r="465" spans="7:8" x14ac:dyDescent="0.25">
      <c r="G465">
        <v>0.42499999999999999</v>
      </c>
      <c r="H465">
        <f t="shared" si="6"/>
        <v>100.34602142430633</v>
      </c>
    </row>
    <row r="466" spans="7:8" x14ac:dyDescent="0.25">
      <c r="G466">
        <v>0.42599999999999999</v>
      </c>
      <c r="H466">
        <f t="shared" si="6"/>
        <v>100.12343293903128</v>
      </c>
    </row>
    <row r="467" spans="7:8" x14ac:dyDescent="0.25">
      <c r="G467">
        <v>0.42699999999999999</v>
      </c>
      <c r="H467">
        <f t="shared" si="6"/>
        <v>99.901826437045656</v>
      </c>
    </row>
    <row r="468" spans="7:8" x14ac:dyDescent="0.25">
      <c r="G468">
        <v>0.42799999999999999</v>
      </c>
      <c r="H468">
        <f t="shared" si="6"/>
        <v>99.68119545894217</v>
      </c>
    </row>
    <row r="469" spans="7:8" x14ac:dyDescent="0.25">
      <c r="G469">
        <v>0.42899999999999999</v>
      </c>
      <c r="H469">
        <f t="shared" si="6"/>
        <v>99.461533601600848</v>
      </c>
    </row>
    <row r="470" spans="7:8" x14ac:dyDescent="0.25">
      <c r="G470">
        <v>0.43</v>
      </c>
      <c r="H470">
        <f t="shared" si="6"/>
        <v>99.242834517580548</v>
      </c>
    </row>
    <row r="471" spans="7:8" x14ac:dyDescent="0.25">
      <c r="G471">
        <v>0.43099999999999999</v>
      </c>
      <c r="H471">
        <f t="shared" si="6"/>
        <v>99.025091914517049</v>
      </c>
    </row>
    <row r="472" spans="7:8" x14ac:dyDescent="0.25">
      <c r="G472">
        <v>0.432</v>
      </c>
      <c r="H472">
        <f t="shared" si="6"/>
        <v>98.80829955453089</v>
      </c>
    </row>
    <row r="473" spans="7:8" x14ac:dyDescent="0.25">
      <c r="G473">
        <v>0.433</v>
      </c>
      <c r="H473">
        <f t="shared" si="6"/>
        <v>98.592451253641244</v>
      </c>
    </row>
    <row r="474" spans="7:8" x14ac:dyDescent="0.25">
      <c r="G474">
        <v>0.434</v>
      </c>
      <c r="H474">
        <f t="shared" si="6"/>
        <v>98.377540881187556</v>
      </c>
    </row>
    <row r="475" spans="7:8" x14ac:dyDescent="0.25">
      <c r="G475">
        <v>0.435</v>
      </c>
      <c r="H475">
        <f t="shared" si="6"/>
        <v>98.163562359259089</v>
      </c>
    </row>
    <row r="476" spans="7:8" x14ac:dyDescent="0.25">
      <c r="G476">
        <v>0.436</v>
      </c>
      <c r="H476">
        <f t="shared" si="6"/>
        <v>97.950509662131438</v>
      </c>
    </row>
    <row r="477" spans="7:8" x14ac:dyDescent="0.25">
      <c r="G477">
        <v>0.437</v>
      </c>
      <c r="H477">
        <f t="shared" si="6"/>
        <v>97.738376815710055</v>
      </c>
    </row>
    <row r="478" spans="7:8" x14ac:dyDescent="0.25">
      <c r="G478">
        <v>0.438</v>
      </c>
      <c r="H478">
        <f t="shared" si="6"/>
        <v>97.527157896981279</v>
      </c>
    </row>
    <row r="479" spans="7:8" x14ac:dyDescent="0.25">
      <c r="G479">
        <v>0.439</v>
      </c>
      <c r="H479">
        <f t="shared" si="6"/>
        <v>97.3168470334695</v>
      </c>
    </row>
    <row r="480" spans="7:8" x14ac:dyDescent="0.25">
      <c r="G480">
        <v>0.44</v>
      </c>
      <c r="H480">
        <f t="shared" si="6"/>
        <v>97.107438402702428</v>
      </c>
    </row>
    <row r="481" spans="7:8" x14ac:dyDescent="0.25">
      <c r="G481">
        <v>0.441</v>
      </c>
      <c r="H481">
        <f t="shared" si="6"/>
        <v>96.898926231682069</v>
      </c>
    </row>
    <row r="482" spans="7:8" x14ac:dyDescent="0.25">
      <c r="G482">
        <v>0.442</v>
      </c>
      <c r="H482">
        <f t="shared" si="6"/>
        <v>96.69130479636253</v>
      </c>
    </row>
    <row r="483" spans="7:8" x14ac:dyDescent="0.25">
      <c r="G483">
        <v>0.443</v>
      </c>
      <c r="H483">
        <f t="shared" si="6"/>
        <v>96.484568421134867</v>
      </c>
    </row>
    <row r="484" spans="7:8" x14ac:dyDescent="0.25">
      <c r="G484">
        <v>0.44400000000000001</v>
      </c>
      <c r="H484">
        <f t="shared" si="6"/>
        <v>96.278711478318215</v>
      </c>
    </row>
    <row r="485" spans="7:8" x14ac:dyDescent="0.25">
      <c r="G485">
        <v>0.44500000000000001</v>
      </c>
      <c r="H485">
        <f t="shared" si="6"/>
        <v>96.073728387656473</v>
      </c>
    </row>
    <row r="486" spans="7:8" x14ac:dyDescent="0.25">
      <c r="G486">
        <v>0.44600000000000001</v>
      </c>
      <c r="H486">
        <f t="shared" si="6"/>
        <v>95.869613615822814</v>
      </c>
    </row>
    <row r="487" spans="7:8" x14ac:dyDescent="0.25">
      <c r="G487">
        <v>0.44700000000000001</v>
      </c>
      <c r="H487">
        <f t="shared" si="6"/>
        <v>95.666361675929309</v>
      </c>
    </row>
    <row r="488" spans="7:8" x14ac:dyDescent="0.25">
      <c r="G488">
        <v>0.44800000000000001</v>
      </c>
      <c r="H488">
        <f t="shared" si="6"/>
        <v>95.463967127042451</v>
      </c>
    </row>
    <row r="489" spans="7:8" x14ac:dyDescent="0.25">
      <c r="G489">
        <v>0.44900000000000001</v>
      </c>
      <c r="H489">
        <f t="shared" ref="H489:H552" si="7">D(G489,45)</f>
        <v>95.26242457370563</v>
      </c>
    </row>
    <row r="490" spans="7:8" x14ac:dyDescent="0.25">
      <c r="G490">
        <v>0.45</v>
      </c>
      <c r="H490">
        <f t="shared" si="7"/>
        <v>95.061728665466788</v>
      </c>
    </row>
    <row r="491" spans="7:8" x14ac:dyDescent="0.25">
      <c r="G491">
        <v>0.45100000000000001</v>
      </c>
      <c r="H491">
        <f t="shared" si="7"/>
        <v>94.861874096412222</v>
      </c>
    </row>
    <row r="492" spans="7:8" x14ac:dyDescent="0.25">
      <c r="G492">
        <v>0.45200000000000001</v>
      </c>
      <c r="H492">
        <f t="shared" si="7"/>
        <v>94.662855604705939</v>
      </c>
    </row>
    <row r="493" spans="7:8" x14ac:dyDescent="0.25">
      <c r="G493">
        <v>0.45300000000000001</v>
      </c>
      <c r="H493">
        <f t="shared" si="7"/>
        <v>94.46466797213516</v>
      </c>
    </row>
    <row r="494" spans="7:8" x14ac:dyDescent="0.25">
      <c r="G494">
        <v>0.45400000000000001</v>
      </c>
      <c r="H494">
        <f t="shared" si="7"/>
        <v>94.267306023660794</v>
      </c>
    </row>
    <row r="495" spans="7:8" x14ac:dyDescent="0.25">
      <c r="G495">
        <v>0.45500000000000002</v>
      </c>
      <c r="H495">
        <f t="shared" si="7"/>
        <v>94.070764626973485</v>
      </c>
    </row>
    <row r="496" spans="7:8" x14ac:dyDescent="0.25">
      <c r="G496">
        <v>0.45600000000000002</v>
      </c>
      <c r="H496">
        <f t="shared" si="7"/>
        <v>93.875038692056137</v>
      </c>
    </row>
    <row r="497" spans="7:8" x14ac:dyDescent="0.25">
      <c r="G497">
        <v>0.45700000000000002</v>
      </c>
      <c r="H497">
        <f t="shared" si="7"/>
        <v>93.680123170750036</v>
      </c>
    </row>
    <row r="498" spans="7:8" x14ac:dyDescent="0.25">
      <c r="G498">
        <v>0.45800000000000002</v>
      </c>
      <c r="H498">
        <f t="shared" si="7"/>
        <v>93.48601305632792</v>
      </c>
    </row>
    <row r="499" spans="7:8" x14ac:dyDescent="0.25">
      <c r="G499">
        <v>0.45900000000000002</v>
      </c>
      <c r="H499">
        <f t="shared" si="7"/>
        <v>93.292703383070986</v>
      </c>
    </row>
    <row r="500" spans="7:8" x14ac:dyDescent="0.25">
      <c r="G500">
        <v>0.46</v>
      </c>
      <c r="H500">
        <f t="shared" si="7"/>
        <v>93.100189225852162</v>
      </c>
    </row>
    <row r="501" spans="7:8" x14ac:dyDescent="0.25">
      <c r="G501">
        <v>0.46100000000000002</v>
      </c>
      <c r="H501">
        <f t="shared" si="7"/>
        <v>92.908465699723237</v>
      </c>
    </row>
    <row r="502" spans="7:8" x14ac:dyDescent="0.25">
      <c r="G502">
        <v>0.46200000000000002</v>
      </c>
      <c r="H502">
        <f t="shared" si="7"/>
        <v>92.717527959508104</v>
      </c>
    </row>
    <row r="503" spans="7:8" x14ac:dyDescent="0.25">
      <c r="G503">
        <v>0.46300000000000002</v>
      </c>
      <c r="H503">
        <f t="shared" si="7"/>
        <v>92.52737119940015</v>
      </c>
    </row>
    <row r="504" spans="7:8" x14ac:dyDescent="0.25">
      <c r="G504">
        <v>0.46400000000000002</v>
      </c>
      <c r="H504">
        <f t="shared" si="7"/>
        <v>92.337990652564898</v>
      </c>
    </row>
    <row r="505" spans="7:8" x14ac:dyDescent="0.25">
      <c r="G505">
        <v>0.46500000000000002</v>
      </c>
      <c r="H505">
        <f t="shared" si="7"/>
        <v>92.149381590747296</v>
      </c>
    </row>
    <row r="506" spans="7:8" x14ac:dyDescent="0.25">
      <c r="G506">
        <v>0.46600000000000003</v>
      </c>
      <c r="H506">
        <f t="shared" si="7"/>
        <v>91.961539323883727</v>
      </c>
    </row>
    <row r="507" spans="7:8" x14ac:dyDescent="0.25">
      <c r="G507">
        <v>0.46700000000000003</v>
      </c>
      <c r="H507">
        <f t="shared" si="7"/>
        <v>91.774459199718677</v>
      </c>
    </row>
    <row r="508" spans="7:8" x14ac:dyDescent="0.25">
      <c r="G508">
        <v>0.46800000000000003</v>
      </c>
      <c r="H508">
        <f t="shared" si="7"/>
        <v>91.58813660342598</v>
      </c>
    </row>
    <row r="509" spans="7:8" x14ac:dyDescent="0.25">
      <c r="G509">
        <v>0.46899999999999997</v>
      </c>
      <c r="H509">
        <f t="shared" si="7"/>
        <v>91.402566957234683</v>
      </c>
    </row>
    <row r="510" spans="7:8" x14ac:dyDescent="0.25">
      <c r="G510">
        <v>0.47</v>
      </c>
      <c r="H510">
        <f t="shared" si="7"/>
        <v>91.217745720059085</v>
      </c>
    </row>
    <row r="511" spans="7:8" x14ac:dyDescent="0.25">
      <c r="G511">
        <v>0.47099999999999997</v>
      </c>
      <c r="H511">
        <f t="shared" si="7"/>
        <v>91.033668387133758</v>
      </c>
    </row>
    <row r="512" spans="7:8" x14ac:dyDescent="0.25">
      <c r="G512">
        <v>0.47199999999999998</v>
      </c>
      <c r="H512">
        <f t="shared" si="7"/>
        <v>90.850330489652052</v>
      </c>
    </row>
    <row r="513" spans="7:8" x14ac:dyDescent="0.25">
      <c r="G513">
        <v>0.47299999999999998</v>
      </c>
      <c r="H513">
        <f t="shared" si="7"/>
        <v>90.667727594409868</v>
      </c>
    </row>
    <row r="514" spans="7:8" x14ac:dyDescent="0.25">
      <c r="G514">
        <v>0.47399999999999998</v>
      </c>
      <c r="H514">
        <f t="shared" si="7"/>
        <v>90.485855303452652</v>
      </c>
    </row>
    <row r="515" spans="7:8" x14ac:dyDescent="0.25">
      <c r="G515">
        <v>0.47499999999999998</v>
      </c>
      <c r="H515">
        <f t="shared" si="7"/>
        <v>90.304709253727452</v>
      </c>
    </row>
    <row r="516" spans="7:8" x14ac:dyDescent="0.25">
      <c r="G516">
        <v>0.47599999999999998</v>
      </c>
      <c r="H516">
        <f t="shared" si="7"/>
        <v>90.124285116738477</v>
      </c>
    </row>
    <row r="517" spans="7:8" x14ac:dyDescent="0.25">
      <c r="G517">
        <v>0.47699999999999998</v>
      </c>
      <c r="H517">
        <f t="shared" si="7"/>
        <v>89.944578598206789</v>
      </c>
    </row>
    <row r="518" spans="7:8" x14ac:dyDescent="0.25">
      <c r="G518">
        <v>0.47799999999999998</v>
      </c>
      <c r="H518">
        <f t="shared" si="7"/>
        <v>89.765585437734373</v>
      </c>
    </row>
    <row r="519" spans="7:8" x14ac:dyDescent="0.25">
      <c r="G519">
        <v>0.47899999999999998</v>
      </c>
      <c r="H519">
        <f t="shared" si="7"/>
        <v>89.587301408471703</v>
      </c>
    </row>
    <row r="520" spans="7:8" x14ac:dyDescent="0.25">
      <c r="G520">
        <v>0.48</v>
      </c>
      <c r="H520">
        <f t="shared" si="7"/>
        <v>89.409722316789356</v>
      </c>
    </row>
    <row r="521" spans="7:8" x14ac:dyDescent="0.25">
      <c r="G521">
        <v>0.48099999999999998</v>
      </c>
      <c r="H521">
        <f t="shared" si="7"/>
        <v>89.232844001953595</v>
      </c>
    </row>
    <row r="522" spans="7:8" x14ac:dyDescent="0.25">
      <c r="G522">
        <v>0.48199999999999998</v>
      </c>
      <c r="H522">
        <f t="shared" si="7"/>
        <v>89.056662335805328</v>
      </c>
    </row>
    <row r="523" spans="7:8" x14ac:dyDescent="0.25">
      <c r="G523">
        <v>0.48299999999999998</v>
      </c>
      <c r="H523">
        <f t="shared" si="7"/>
        <v>88.881173222443465</v>
      </c>
    </row>
    <row r="524" spans="7:8" x14ac:dyDescent="0.25">
      <c r="G524">
        <v>0.48399999999999999</v>
      </c>
      <c r="H524">
        <f t="shared" si="7"/>
        <v>88.706372597911368</v>
      </c>
    </row>
    <row r="525" spans="7:8" x14ac:dyDescent="0.25">
      <c r="G525">
        <v>0.48499999999999999</v>
      </c>
      <c r="H525">
        <f t="shared" si="7"/>
        <v>88.532256429887013</v>
      </c>
    </row>
    <row r="526" spans="7:8" x14ac:dyDescent="0.25">
      <c r="G526">
        <v>0.48599999999999999</v>
      </c>
      <c r="H526">
        <f t="shared" si="7"/>
        <v>88.358820717376986</v>
      </c>
    </row>
    <row r="527" spans="7:8" x14ac:dyDescent="0.25">
      <c r="G527">
        <v>0.48699999999999999</v>
      </c>
      <c r="H527">
        <f t="shared" si="7"/>
        <v>88.18606149041409</v>
      </c>
    </row>
    <row r="528" spans="7:8" x14ac:dyDescent="0.25">
      <c r="G528">
        <v>0.48799999999999999</v>
      </c>
      <c r="H528">
        <f t="shared" si="7"/>
        <v>88.013974809757784</v>
      </c>
    </row>
    <row r="529" spans="7:8" x14ac:dyDescent="0.25">
      <c r="G529">
        <v>0.48899999999999999</v>
      </c>
      <c r="H529">
        <f t="shared" si="7"/>
        <v>87.842556766598861</v>
      </c>
    </row>
    <row r="530" spans="7:8" x14ac:dyDescent="0.25">
      <c r="G530">
        <v>0.49</v>
      </c>
      <c r="H530">
        <f t="shared" si="7"/>
        <v>87.671803482266981</v>
      </c>
    </row>
    <row r="531" spans="7:8" x14ac:dyDescent="0.25">
      <c r="G531">
        <v>0.49099999999999999</v>
      </c>
      <c r="H531">
        <f t="shared" si="7"/>
        <v>87.501711107941716</v>
      </c>
    </row>
    <row r="532" spans="7:8" x14ac:dyDescent="0.25">
      <c r="G532">
        <v>0.49199999999999999</v>
      </c>
      <c r="H532">
        <f t="shared" si="7"/>
        <v>87.332275824367386</v>
      </c>
    </row>
    <row r="533" spans="7:8" x14ac:dyDescent="0.25">
      <c r="G533">
        <v>0.49299999999999999</v>
      </c>
      <c r="H533">
        <f t="shared" si="7"/>
        <v>87.163493841569831</v>
      </c>
    </row>
    <row r="534" spans="7:8" x14ac:dyDescent="0.25">
      <c r="G534">
        <v>0.49399999999999999</v>
      </c>
      <c r="H534">
        <f t="shared" si="7"/>
        <v>86.995361398578069</v>
      </c>
    </row>
    <row r="535" spans="7:8" x14ac:dyDescent="0.25">
      <c r="G535">
        <v>0.495</v>
      </c>
      <c r="H535">
        <f t="shared" si="7"/>
        <v>86.827874763147918</v>
      </c>
    </row>
    <row r="536" spans="7:8" x14ac:dyDescent="0.25">
      <c r="G536">
        <v>0.496</v>
      </c>
      <c r="H536">
        <f t="shared" si="7"/>
        <v>86.661030231489264</v>
      </c>
    </row>
    <row r="537" spans="7:8" x14ac:dyDescent="0.25">
      <c r="G537">
        <v>0.497</v>
      </c>
      <c r="H537">
        <f t="shared" si="7"/>
        <v>86.494824127996367</v>
      </c>
    </row>
    <row r="538" spans="7:8" x14ac:dyDescent="0.25">
      <c r="G538">
        <v>0.498</v>
      </c>
      <c r="H538">
        <f t="shared" si="7"/>
        <v>86.32925280498074</v>
      </c>
    </row>
    <row r="539" spans="7:8" x14ac:dyDescent="0.25">
      <c r="G539">
        <v>0.499</v>
      </c>
      <c r="H539">
        <f t="shared" si="7"/>
        <v>86.164312642408262</v>
      </c>
    </row>
    <row r="540" spans="7:8" x14ac:dyDescent="0.25">
      <c r="G540">
        <v>0.5</v>
      </c>
      <c r="H540">
        <f t="shared" si="7"/>
        <v>86.000000047638011</v>
      </c>
    </row>
    <row r="541" spans="7:8" x14ac:dyDescent="0.25">
      <c r="G541">
        <v>0.501</v>
      </c>
      <c r="H541">
        <f t="shared" si="7"/>
        <v>85.836311455164051</v>
      </c>
    </row>
    <row r="542" spans="7:8" x14ac:dyDescent="0.25">
      <c r="G542">
        <v>0.502</v>
      </c>
      <c r="H542">
        <f t="shared" si="7"/>
        <v>85.673243326361472</v>
      </c>
    </row>
    <row r="543" spans="7:8" x14ac:dyDescent="0.25">
      <c r="G543">
        <v>0.503</v>
      </c>
      <c r="H543">
        <f t="shared" si="7"/>
        <v>85.510792149233538</v>
      </c>
    </row>
    <row r="544" spans="7:8" x14ac:dyDescent="0.25">
      <c r="G544">
        <v>0.504</v>
      </c>
      <c r="H544">
        <f t="shared" si="7"/>
        <v>85.348954438163233</v>
      </c>
    </row>
    <row r="545" spans="7:8" x14ac:dyDescent="0.25">
      <c r="G545">
        <v>0.505</v>
      </c>
      <c r="H545">
        <f t="shared" si="7"/>
        <v>85.187726733665954</v>
      </c>
    </row>
    <row r="546" spans="7:8" x14ac:dyDescent="0.25">
      <c r="G546">
        <v>0.50600000000000001</v>
      </c>
      <c r="H546">
        <f t="shared" si="7"/>
        <v>85.027105602146634</v>
      </c>
    </row>
    <row r="547" spans="7:8" x14ac:dyDescent="0.25">
      <c r="G547">
        <v>0.50700000000000001</v>
      </c>
      <c r="H547">
        <f t="shared" si="7"/>
        <v>84.867087635658436</v>
      </c>
    </row>
    <row r="548" spans="7:8" x14ac:dyDescent="0.25">
      <c r="G548">
        <v>0.50800000000000001</v>
      </c>
      <c r="H548">
        <f t="shared" si="7"/>
        <v>84.707669451664387</v>
      </c>
    </row>
    <row r="549" spans="7:8" x14ac:dyDescent="0.25">
      <c r="G549">
        <v>0.50900000000000001</v>
      </c>
      <c r="H549">
        <f t="shared" si="7"/>
        <v>84.548847692801871</v>
      </c>
    </row>
    <row r="550" spans="7:8" x14ac:dyDescent="0.25">
      <c r="G550">
        <v>0.51</v>
      </c>
      <c r="H550">
        <f t="shared" si="7"/>
        <v>84.390619026649603</v>
      </c>
    </row>
    <row r="551" spans="7:8" x14ac:dyDescent="0.25">
      <c r="G551">
        <v>0.51100000000000001</v>
      </c>
      <c r="H551">
        <f t="shared" si="7"/>
        <v>84.232980145497052</v>
      </c>
    </row>
    <row r="552" spans="7:8" x14ac:dyDescent="0.25">
      <c r="G552">
        <v>0.51200000000000001</v>
      </c>
      <c r="H552">
        <f t="shared" si="7"/>
        <v>84.075927766116649</v>
      </c>
    </row>
    <row r="553" spans="7:8" x14ac:dyDescent="0.25">
      <c r="G553">
        <v>0.51300000000000001</v>
      </c>
      <c r="H553">
        <f t="shared" ref="H553:H616" si="8">D(G553,45)</f>
        <v>83.91945862953834</v>
      </c>
    </row>
    <row r="554" spans="7:8" x14ac:dyDescent="0.25">
      <c r="G554">
        <v>0.51400000000000001</v>
      </c>
      <c r="H554">
        <f t="shared" si="8"/>
        <v>83.763569500826478</v>
      </c>
    </row>
    <row r="555" spans="7:8" x14ac:dyDescent="0.25">
      <c r="G555">
        <v>0.51500000000000001</v>
      </c>
      <c r="H555">
        <f t="shared" si="8"/>
        <v>83.608257168859737</v>
      </c>
    </row>
    <row r="556" spans="7:8" x14ac:dyDescent="0.25">
      <c r="G556">
        <v>0.51600000000000001</v>
      </c>
      <c r="H556">
        <f t="shared" si="8"/>
        <v>83.453518446112625</v>
      </c>
    </row>
    <row r="557" spans="7:8" x14ac:dyDescent="0.25">
      <c r="G557">
        <v>0.51700000000000002</v>
      </c>
      <c r="H557">
        <f t="shared" si="8"/>
        <v>83.299350168439872</v>
      </c>
    </row>
    <row r="558" spans="7:8" x14ac:dyDescent="0.25">
      <c r="G558">
        <v>0.51800000000000002</v>
      </c>
      <c r="H558">
        <f t="shared" si="8"/>
        <v>83.145749194863569</v>
      </c>
    </row>
    <row r="559" spans="7:8" x14ac:dyDescent="0.25">
      <c r="G559">
        <v>0.51900000000000002</v>
      </c>
      <c r="H559">
        <f t="shared" si="8"/>
        <v>82.992712407361367</v>
      </c>
    </row>
    <row r="560" spans="7:8" x14ac:dyDescent="0.25">
      <c r="G560">
        <v>0.52</v>
      </c>
      <c r="H560">
        <f t="shared" si="8"/>
        <v>82.840236710658431</v>
      </c>
    </row>
    <row r="561" spans="7:8" x14ac:dyDescent="0.25">
      <c r="G561">
        <v>0.52100000000000002</v>
      </c>
      <c r="H561">
        <f t="shared" si="8"/>
        <v>82.688319032020473</v>
      </c>
    </row>
    <row r="562" spans="7:8" x14ac:dyDescent="0.25">
      <c r="G562">
        <v>0.52200000000000002</v>
      </c>
      <c r="H562">
        <f t="shared" si="8"/>
        <v>82.536956321050098</v>
      </c>
    </row>
    <row r="563" spans="7:8" x14ac:dyDescent="0.25">
      <c r="G563">
        <v>0.52300000000000002</v>
      </c>
      <c r="H563">
        <f t="shared" si="8"/>
        <v>82.386145549484269</v>
      </c>
    </row>
    <row r="564" spans="7:8" x14ac:dyDescent="0.25">
      <c r="G564">
        <v>0.52400000000000002</v>
      </c>
      <c r="H564">
        <f t="shared" si="8"/>
        <v>82.23588371099477</v>
      </c>
    </row>
    <row r="565" spans="7:8" x14ac:dyDescent="0.25">
      <c r="G565">
        <v>0.52500000000000002</v>
      </c>
      <c r="H565">
        <f t="shared" si="8"/>
        <v>82.086167820990596</v>
      </c>
    </row>
    <row r="566" spans="7:8" x14ac:dyDescent="0.25">
      <c r="G566">
        <v>0.52600000000000002</v>
      </c>
      <c r="H566">
        <f t="shared" si="8"/>
        <v>81.936994916422037</v>
      </c>
    </row>
    <row r="567" spans="7:8" x14ac:dyDescent="0.25">
      <c r="G567">
        <v>0.52700000000000002</v>
      </c>
      <c r="H567">
        <f t="shared" si="8"/>
        <v>81.788362055587726</v>
      </c>
    </row>
    <row r="568" spans="7:8" x14ac:dyDescent="0.25">
      <c r="G568">
        <v>0.52800000000000002</v>
      </c>
      <c r="H568">
        <f t="shared" si="8"/>
        <v>81.640266317943016</v>
      </c>
    </row>
    <row r="569" spans="7:8" x14ac:dyDescent="0.25">
      <c r="G569">
        <v>0.52900000000000003</v>
      </c>
      <c r="H569">
        <f t="shared" si="8"/>
        <v>81.492704803910456</v>
      </c>
    </row>
    <row r="570" spans="7:8" x14ac:dyDescent="0.25">
      <c r="G570">
        <v>0.53</v>
      </c>
      <c r="H570">
        <f t="shared" si="8"/>
        <v>81.345674634692926</v>
      </c>
    </row>
    <row r="571" spans="7:8" x14ac:dyDescent="0.25">
      <c r="G571">
        <v>0.53100000000000003</v>
      </c>
      <c r="H571">
        <f t="shared" si="8"/>
        <v>81.199172952088006</v>
      </c>
    </row>
    <row r="572" spans="7:8" x14ac:dyDescent="0.25">
      <c r="G572">
        <v>0.53200000000000003</v>
      </c>
      <c r="H572">
        <f t="shared" si="8"/>
        <v>81.053196918304934</v>
      </c>
    </row>
    <row r="573" spans="7:8" x14ac:dyDescent="0.25">
      <c r="G573">
        <v>0.53300000000000003</v>
      </c>
      <c r="H573">
        <f t="shared" si="8"/>
        <v>80.907743715782871</v>
      </c>
    </row>
    <row r="574" spans="7:8" x14ac:dyDescent="0.25">
      <c r="G574">
        <v>0.53400000000000003</v>
      </c>
      <c r="H574">
        <f t="shared" si="8"/>
        <v>80.762810547011739</v>
      </c>
    </row>
    <row r="575" spans="7:8" x14ac:dyDescent="0.25">
      <c r="G575">
        <v>0.53500000000000003</v>
      </c>
      <c r="H575">
        <f t="shared" si="8"/>
        <v>80.618394634354601</v>
      </c>
    </row>
    <row r="576" spans="7:8" x14ac:dyDescent="0.25">
      <c r="G576">
        <v>0.53600000000000003</v>
      </c>
      <c r="H576">
        <f t="shared" si="8"/>
        <v>80.474493219871945</v>
      </c>
    </row>
    <row r="577" spans="7:8" x14ac:dyDescent="0.25">
      <c r="G577">
        <v>0.53700000000000003</v>
      </c>
      <c r="H577">
        <f t="shared" si="8"/>
        <v>80.331103565147814</v>
      </c>
    </row>
    <row r="578" spans="7:8" x14ac:dyDescent="0.25">
      <c r="G578">
        <v>0.53800000000000003</v>
      </c>
      <c r="H578">
        <f t="shared" si="8"/>
        <v>80.188222951117879</v>
      </c>
    </row>
    <row r="579" spans="7:8" x14ac:dyDescent="0.25">
      <c r="G579">
        <v>0.53900000000000003</v>
      </c>
      <c r="H579">
        <f t="shared" si="8"/>
        <v>80.045848677899329</v>
      </c>
    </row>
    <row r="580" spans="7:8" x14ac:dyDescent="0.25">
      <c r="G580">
        <v>0.54</v>
      </c>
      <c r="H580">
        <f t="shared" si="8"/>
        <v>79.903978064622464</v>
      </c>
    </row>
    <row r="581" spans="7:8" x14ac:dyDescent="0.25">
      <c r="G581">
        <v>0.54100000000000004</v>
      </c>
      <c r="H581">
        <f t="shared" si="8"/>
        <v>79.762608449263951</v>
      </c>
    </row>
    <row r="582" spans="7:8" x14ac:dyDescent="0.25">
      <c r="G582">
        <v>0.54200000000000004</v>
      </c>
      <c r="H582">
        <f t="shared" si="8"/>
        <v>79.621737188481873</v>
      </c>
    </row>
    <row r="583" spans="7:8" x14ac:dyDescent="0.25">
      <c r="G583">
        <v>0.54300000000000004</v>
      </c>
      <c r="H583">
        <f t="shared" si="8"/>
        <v>79.481361657452993</v>
      </c>
    </row>
    <row r="584" spans="7:8" x14ac:dyDescent="0.25">
      <c r="G584">
        <v>0.54400000000000004</v>
      </c>
      <c r="H584">
        <f t="shared" si="8"/>
        <v>79.341479249710844</v>
      </c>
    </row>
    <row r="585" spans="7:8" x14ac:dyDescent="0.25">
      <c r="G585">
        <v>0.54500000000000004</v>
      </c>
      <c r="H585">
        <f t="shared" si="8"/>
        <v>79.202087376986213</v>
      </c>
    </row>
    <row r="586" spans="7:8" x14ac:dyDescent="0.25">
      <c r="G586">
        <v>0.54600000000000004</v>
      </c>
      <c r="H586">
        <f t="shared" si="8"/>
        <v>79.063183469048809</v>
      </c>
    </row>
    <row r="587" spans="7:8" x14ac:dyDescent="0.25">
      <c r="G587">
        <v>0.54700000000000004</v>
      </c>
      <c r="H587">
        <f t="shared" si="8"/>
        <v>78.924764973551007</v>
      </c>
    </row>
    <row r="588" spans="7:8" x14ac:dyDescent="0.25">
      <c r="G588">
        <v>0.54800000000000004</v>
      </c>
      <c r="H588">
        <f t="shared" si="8"/>
        <v>78.786829355872911</v>
      </c>
    </row>
    <row r="589" spans="7:8" x14ac:dyDescent="0.25">
      <c r="G589">
        <v>0.54900000000000004</v>
      </c>
      <c r="H589">
        <f t="shared" si="8"/>
        <v>78.649374098969147</v>
      </c>
    </row>
    <row r="590" spans="7:8" x14ac:dyDescent="0.25">
      <c r="G590">
        <v>0.55000000000000004</v>
      </c>
      <c r="H590">
        <f t="shared" si="8"/>
        <v>78.512396703217021</v>
      </c>
    </row>
    <row r="591" spans="7:8" x14ac:dyDescent="0.25">
      <c r="G591">
        <v>0.55100000000000005</v>
      </c>
      <c r="H591">
        <f t="shared" si="8"/>
        <v>78.37589468626669</v>
      </c>
    </row>
    <row r="592" spans="7:8" x14ac:dyDescent="0.25">
      <c r="G592">
        <v>0.55200000000000005</v>
      </c>
      <c r="H592">
        <f t="shared" si="8"/>
        <v>78.239865582892378</v>
      </c>
    </row>
    <row r="593" spans="7:8" x14ac:dyDescent="0.25">
      <c r="G593">
        <v>0.55300000000000005</v>
      </c>
      <c r="H593">
        <f t="shared" si="8"/>
        <v>78.104306944845391</v>
      </c>
    </row>
    <row r="594" spans="7:8" x14ac:dyDescent="0.25">
      <c r="G594">
        <v>0.55400000000000005</v>
      </c>
      <c r="H594">
        <f t="shared" si="8"/>
        <v>77.969216340708684</v>
      </c>
    </row>
    <row r="595" spans="7:8" x14ac:dyDescent="0.25">
      <c r="G595">
        <v>0.55500000000000005</v>
      </c>
      <c r="H595">
        <f t="shared" si="8"/>
        <v>77.834591355752806</v>
      </c>
    </row>
    <row r="596" spans="7:8" x14ac:dyDescent="0.25">
      <c r="G596">
        <v>0.55600000000000005</v>
      </c>
      <c r="H596">
        <f t="shared" si="8"/>
        <v>77.700429591793224</v>
      </c>
    </row>
    <row r="597" spans="7:8" x14ac:dyDescent="0.25">
      <c r="G597">
        <v>0.55700000000000005</v>
      </c>
      <c r="H597">
        <f t="shared" si="8"/>
        <v>77.566728667049304</v>
      </c>
    </row>
    <row r="598" spans="7:8" x14ac:dyDescent="0.25">
      <c r="G598">
        <v>0.55800000000000005</v>
      </c>
      <c r="H598">
        <f t="shared" si="8"/>
        <v>77.433486216004539</v>
      </c>
    </row>
    <row r="599" spans="7:8" x14ac:dyDescent="0.25">
      <c r="G599">
        <v>0.55900000000000005</v>
      </c>
      <c r="H599">
        <f t="shared" si="8"/>
        <v>77.300699889268685</v>
      </c>
    </row>
    <row r="600" spans="7:8" x14ac:dyDescent="0.25">
      <c r="G600">
        <v>0.56000000000000005</v>
      </c>
      <c r="H600">
        <f t="shared" si="8"/>
        <v>77.168367353440274</v>
      </c>
    </row>
    <row r="601" spans="7:8" x14ac:dyDescent="0.25">
      <c r="G601">
        <v>0.56100000000000005</v>
      </c>
      <c r="H601">
        <f t="shared" si="8"/>
        <v>77.036486290971837</v>
      </c>
    </row>
    <row r="602" spans="7:8" x14ac:dyDescent="0.25">
      <c r="G602">
        <v>0.56200000000000006</v>
      </c>
      <c r="H602">
        <f t="shared" si="8"/>
        <v>76.905054400034984</v>
      </c>
    </row>
    <row r="603" spans="7:8" x14ac:dyDescent="0.25">
      <c r="G603">
        <v>0.56299999999999994</v>
      </c>
      <c r="H603">
        <f t="shared" si="8"/>
        <v>76.774069394388775</v>
      </c>
    </row>
    <row r="604" spans="7:8" x14ac:dyDescent="0.25">
      <c r="G604">
        <v>0.56399999999999995</v>
      </c>
      <c r="H604">
        <f t="shared" si="8"/>
        <v>76.643529003247323</v>
      </c>
    </row>
    <row r="605" spans="7:8" x14ac:dyDescent="0.25">
      <c r="G605">
        <v>0.56499999999999995</v>
      </c>
      <c r="H605">
        <f t="shared" si="8"/>
        <v>76.513430971150271</v>
      </c>
    </row>
    <row r="606" spans="7:8" x14ac:dyDescent="0.25">
      <c r="G606">
        <v>0.56599999999999995</v>
      </c>
      <c r="H606">
        <f t="shared" si="8"/>
        <v>76.383773057833864</v>
      </c>
    </row>
    <row r="607" spans="7:8" x14ac:dyDescent="0.25">
      <c r="G607">
        <v>0.56699999999999995</v>
      </c>
      <c r="H607">
        <f t="shared" si="8"/>
        <v>76.254553038103452</v>
      </c>
    </row>
    <row r="608" spans="7:8" x14ac:dyDescent="0.25">
      <c r="G608">
        <v>0.56799999999999995</v>
      </c>
      <c r="H608">
        <f t="shared" si="8"/>
        <v>76.125768701707457</v>
      </c>
    </row>
    <row r="609" spans="7:8" x14ac:dyDescent="0.25">
      <c r="G609">
        <v>0.56899999999999995</v>
      </c>
      <c r="H609">
        <f t="shared" si="8"/>
        <v>75.997417853212283</v>
      </c>
    </row>
    <row r="610" spans="7:8" x14ac:dyDescent="0.25">
      <c r="G610">
        <v>0.56999999999999995</v>
      </c>
      <c r="H610">
        <f t="shared" si="8"/>
        <v>75.869498311878743</v>
      </c>
    </row>
    <row r="611" spans="7:8" x14ac:dyDescent="0.25">
      <c r="G611">
        <v>0.57099999999999995</v>
      </c>
      <c r="H611">
        <f t="shared" si="8"/>
        <v>75.742007911539318</v>
      </c>
    </row>
    <row r="612" spans="7:8" x14ac:dyDescent="0.25">
      <c r="G612">
        <v>0.57199999999999995</v>
      </c>
      <c r="H612">
        <f t="shared" si="8"/>
        <v>75.614944500477449</v>
      </c>
    </row>
    <row r="613" spans="7:8" x14ac:dyDescent="0.25">
      <c r="G613">
        <v>0.57299999999999995</v>
      </c>
      <c r="H613">
        <f t="shared" si="8"/>
        <v>75.488305941307289</v>
      </c>
    </row>
    <row r="614" spans="7:8" x14ac:dyDescent="0.25">
      <c r="G614">
        <v>0.57399999999999995</v>
      </c>
      <c r="H614">
        <f t="shared" si="8"/>
        <v>75.362090110854581</v>
      </c>
    </row>
    <row r="615" spans="7:8" x14ac:dyDescent="0.25">
      <c r="G615">
        <v>0.57499999999999996</v>
      </c>
      <c r="H615">
        <f t="shared" si="8"/>
        <v>75.236294900039269</v>
      </c>
    </row>
    <row r="616" spans="7:8" x14ac:dyDescent="0.25">
      <c r="G616">
        <v>0.57599999999999996</v>
      </c>
      <c r="H616">
        <f t="shared" si="8"/>
        <v>75.110918213759149</v>
      </c>
    </row>
    <row r="617" spans="7:8" x14ac:dyDescent="0.25">
      <c r="G617">
        <v>0.57699999999999996</v>
      </c>
      <c r="H617">
        <f t="shared" ref="H617:H680" si="9">D(G617,45)</f>
        <v>74.985957970774294</v>
      </c>
    </row>
    <row r="618" spans="7:8" x14ac:dyDescent="0.25">
      <c r="G618">
        <v>0.57799999999999996</v>
      </c>
      <c r="H618">
        <f t="shared" si="9"/>
        <v>74.861412103592826</v>
      </c>
    </row>
    <row r="619" spans="7:8" x14ac:dyDescent="0.25">
      <c r="G619">
        <v>0.57899999999999996</v>
      </c>
      <c r="H619">
        <f t="shared" si="9"/>
        <v>74.737278558358042</v>
      </c>
    </row>
    <row r="620" spans="7:8" x14ac:dyDescent="0.25">
      <c r="G620">
        <v>0.57999999999999996</v>
      </c>
      <c r="H620">
        <f t="shared" si="9"/>
        <v>74.613555294736301</v>
      </c>
    </row>
    <row r="621" spans="7:8" x14ac:dyDescent="0.25">
      <c r="G621">
        <v>0.58099999999999996</v>
      </c>
      <c r="H621">
        <f t="shared" si="9"/>
        <v>74.490240285806223</v>
      </c>
    </row>
    <row r="622" spans="7:8" x14ac:dyDescent="0.25">
      <c r="G622">
        <v>0.58199999999999996</v>
      </c>
      <c r="H622">
        <f t="shared" si="9"/>
        <v>74.367331517948799</v>
      </c>
    </row>
    <row r="623" spans="7:8" x14ac:dyDescent="0.25">
      <c r="G623">
        <v>0.58299999999999996</v>
      </c>
      <c r="H623">
        <f t="shared" si="9"/>
        <v>74.2448269907389</v>
      </c>
    </row>
    <row r="624" spans="7:8" x14ac:dyDescent="0.25">
      <c r="G624">
        <v>0.58399999999999996</v>
      </c>
      <c r="H624">
        <f t="shared" si="9"/>
        <v>74.122724716837396</v>
      </c>
    </row>
    <row r="625" spans="7:8" x14ac:dyDescent="0.25">
      <c r="G625">
        <v>0.58499999999999996</v>
      </c>
      <c r="H625">
        <f t="shared" si="9"/>
        <v>74.001022721884638</v>
      </c>
    </row>
    <row r="626" spans="7:8" x14ac:dyDescent="0.25">
      <c r="G626">
        <v>0.58599999999999997</v>
      </c>
      <c r="H626">
        <f t="shared" si="9"/>
        <v>73.87971904439506</v>
      </c>
    </row>
    <row r="627" spans="7:8" x14ac:dyDescent="0.25">
      <c r="G627">
        <v>0.58699999999999997</v>
      </c>
      <c r="H627">
        <f t="shared" si="9"/>
        <v>73.758811735652301</v>
      </c>
    </row>
    <row r="628" spans="7:8" x14ac:dyDescent="0.25">
      <c r="G628">
        <v>0.58799999999999997</v>
      </c>
      <c r="H628">
        <f t="shared" si="9"/>
        <v>73.638298859606081</v>
      </c>
    </row>
    <row r="629" spans="7:8" x14ac:dyDescent="0.25">
      <c r="G629">
        <v>0.58899999999999997</v>
      </c>
      <c r="H629">
        <f t="shared" si="9"/>
        <v>73.518178492769437</v>
      </c>
    </row>
    <row r="630" spans="7:8" x14ac:dyDescent="0.25">
      <c r="G630">
        <v>0.59</v>
      </c>
      <c r="H630">
        <f t="shared" si="9"/>
        <v>73.398448724117301</v>
      </c>
    </row>
    <row r="631" spans="7:8" x14ac:dyDescent="0.25">
      <c r="G631">
        <v>0.59099999999999997</v>
      </c>
      <c r="H631">
        <f t="shared" si="9"/>
        <v>73.279107654985779</v>
      </c>
    </row>
    <row r="632" spans="7:8" x14ac:dyDescent="0.25">
      <c r="G632">
        <v>0.59199999999999997</v>
      </c>
      <c r="H632">
        <f t="shared" si="9"/>
        <v>73.160153398972895</v>
      </c>
    </row>
    <row r="633" spans="7:8" x14ac:dyDescent="0.25">
      <c r="G633">
        <v>0.59299999999999997</v>
      </c>
      <c r="H633">
        <f t="shared" si="9"/>
        <v>73.041584081839758</v>
      </c>
    </row>
    <row r="634" spans="7:8" x14ac:dyDescent="0.25">
      <c r="G634">
        <v>0.59399999999999997</v>
      </c>
      <c r="H634">
        <f t="shared" si="9"/>
        <v>72.923397841412836</v>
      </c>
    </row>
    <row r="635" spans="7:8" x14ac:dyDescent="0.25">
      <c r="G635">
        <v>0.59499999999999997</v>
      </c>
      <c r="H635">
        <f t="shared" si="9"/>
        <v>72.805592827487388</v>
      </c>
    </row>
    <row r="636" spans="7:8" x14ac:dyDescent="0.25">
      <c r="G636">
        <v>0.59599999999999997</v>
      </c>
      <c r="H636">
        <f t="shared" si="9"/>
        <v>72.688167201731702</v>
      </c>
    </row>
    <row r="637" spans="7:8" x14ac:dyDescent="0.25">
      <c r="G637">
        <v>0.59699999999999998</v>
      </c>
      <c r="H637">
        <f t="shared" si="9"/>
        <v>72.571119137592035</v>
      </c>
    </row>
    <row r="638" spans="7:8" x14ac:dyDescent="0.25">
      <c r="G638">
        <v>0.59799999999999998</v>
      </c>
      <c r="H638">
        <f t="shared" si="9"/>
        <v>72.45444682019864</v>
      </c>
    </row>
    <row r="639" spans="7:8" x14ac:dyDescent="0.25">
      <c r="G639">
        <v>0.59899999999999998</v>
      </c>
      <c r="H639">
        <f t="shared" si="9"/>
        <v>72.338148446272911</v>
      </c>
    </row>
    <row r="640" spans="7:8" x14ac:dyDescent="0.25">
      <c r="G640">
        <v>0.6</v>
      </c>
      <c r="H640">
        <f t="shared" si="9"/>
        <v>72.22222222403478</v>
      </c>
    </row>
    <row r="641" spans="7:8" x14ac:dyDescent="0.25">
      <c r="G641">
        <v>0.60099999999999998</v>
      </c>
      <c r="H641">
        <f t="shared" si="9"/>
        <v>72.106666373112063</v>
      </c>
    </row>
    <row r="642" spans="7:8" x14ac:dyDescent="0.25">
      <c r="G642">
        <v>0.60199999999999998</v>
      </c>
      <c r="H642">
        <f t="shared" si="9"/>
        <v>71.991479124449157</v>
      </c>
    </row>
    <row r="643" spans="7:8" x14ac:dyDescent="0.25">
      <c r="G643">
        <v>0.60299999999999998</v>
      </c>
      <c r="H643">
        <f t="shared" si="9"/>
        <v>71.876658720218117</v>
      </c>
    </row>
    <row r="644" spans="7:8" x14ac:dyDescent="0.25">
      <c r="G644">
        <v>0.60399999999999998</v>
      </c>
      <c r="H644">
        <f t="shared" si="9"/>
        <v>71.76220341372958</v>
      </c>
    </row>
    <row r="645" spans="7:8" x14ac:dyDescent="0.25">
      <c r="G645">
        <v>0.60499999999999998</v>
      </c>
      <c r="H645">
        <f t="shared" si="9"/>
        <v>71.64811146934511</v>
      </c>
    </row>
    <row r="646" spans="7:8" x14ac:dyDescent="0.25">
      <c r="G646">
        <v>0.60599999999999998</v>
      </c>
      <c r="H646">
        <f t="shared" si="9"/>
        <v>71.534381162389778</v>
      </c>
    </row>
    <row r="647" spans="7:8" x14ac:dyDescent="0.25">
      <c r="G647">
        <v>0.60699999999999998</v>
      </c>
      <c r="H647">
        <f t="shared" si="9"/>
        <v>71.421010779066179</v>
      </c>
    </row>
    <row r="648" spans="7:8" x14ac:dyDescent="0.25">
      <c r="G648">
        <v>0.60799999999999998</v>
      </c>
      <c r="H648">
        <f t="shared" si="9"/>
        <v>71.307998616368764</v>
      </c>
    </row>
    <row r="649" spans="7:8" x14ac:dyDescent="0.25">
      <c r="G649">
        <v>0.60899999999999999</v>
      </c>
      <c r="H649">
        <f t="shared" si="9"/>
        <v>71.195342981999516</v>
      </c>
    </row>
    <row r="650" spans="7:8" x14ac:dyDescent="0.25">
      <c r="G650">
        <v>0.61</v>
      </c>
      <c r="H650">
        <f t="shared" si="9"/>
        <v>71.08304219428382</v>
      </c>
    </row>
    <row r="651" spans="7:8" x14ac:dyDescent="0.25">
      <c r="G651">
        <v>0.61099999999999999</v>
      </c>
      <c r="H651">
        <f t="shared" si="9"/>
        <v>70.971094582087247</v>
      </c>
    </row>
    <row r="652" spans="7:8" x14ac:dyDescent="0.25">
      <c r="G652">
        <v>0.61199999999999999</v>
      </c>
      <c r="H652">
        <f t="shared" si="9"/>
        <v>70.859498484733976</v>
      </c>
    </row>
    <row r="653" spans="7:8" x14ac:dyDescent="0.25">
      <c r="G653">
        <v>0.61299999999999999</v>
      </c>
      <c r="H653">
        <f t="shared" si="9"/>
        <v>70.74825225192437</v>
      </c>
    </row>
    <row r="654" spans="7:8" x14ac:dyDescent="0.25">
      <c r="G654">
        <v>0.61399999999999999</v>
      </c>
      <c r="H654">
        <f t="shared" si="9"/>
        <v>70.637354243654841</v>
      </c>
    </row>
    <row r="655" spans="7:8" x14ac:dyDescent="0.25">
      <c r="G655">
        <v>0.61499999999999999</v>
      </c>
      <c r="H655">
        <f t="shared" si="9"/>
        <v>70.526802830137612</v>
      </c>
    </row>
    <row r="656" spans="7:8" x14ac:dyDescent="0.25">
      <c r="G656">
        <v>0.61599999999999999</v>
      </c>
      <c r="H656">
        <f t="shared" si="9"/>
        <v>70.416596391721257</v>
      </c>
    </row>
    <row r="657" spans="7:8" x14ac:dyDescent="0.25">
      <c r="G657">
        <v>0.61699999999999999</v>
      </c>
      <c r="H657">
        <f t="shared" si="9"/>
        <v>70.306733318812832</v>
      </c>
    </row>
    <row r="658" spans="7:8" x14ac:dyDescent="0.25">
      <c r="G658">
        <v>0.61799999999999999</v>
      </c>
      <c r="H658">
        <f t="shared" si="9"/>
        <v>70.197212011799294</v>
      </c>
    </row>
    <row r="659" spans="7:8" x14ac:dyDescent="0.25">
      <c r="G659">
        <v>0.61899999999999999</v>
      </c>
      <c r="H659">
        <f t="shared" si="9"/>
        <v>70.088030880970706</v>
      </c>
    </row>
    <row r="660" spans="7:8" x14ac:dyDescent="0.25">
      <c r="G660">
        <v>0.62</v>
      </c>
      <c r="H660">
        <f t="shared" si="9"/>
        <v>69.979188346444062</v>
      </c>
    </row>
    <row r="661" spans="7:8" x14ac:dyDescent="0.25">
      <c r="G661">
        <v>0.621</v>
      </c>
      <c r="H661">
        <f t="shared" si="9"/>
        <v>69.870682838087419</v>
      </c>
    </row>
    <row r="662" spans="7:8" x14ac:dyDescent="0.25">
      <c r="G662">
        <v>0.622</v>
      </c>
      <c r="H662">
        <f t="shared" si="9"/>
        <v>69.762512795445048</v>
      </c>
    </row>
    <row r="663" spans="7:8" x14ac:dyDescent="0.25">
      <c r="G663">
        <v>0.623</v>
      </c>
      <c r="H663">
        <f t="shared" si="9"/>
        <v>69.654676667662812</v>
      </c>
    </row>
    <row r="664" spans="7:8" x14ac:dyDescent="0.25">
      <c r="G664">
        <v>0.624</v>
      </c>
      <c r="H664">
        <f t="shared" si="9"/>
        <v>69.547172913415082</v>
      </c>
    </row>
    <row r="665" spans="7:8" x14ac:dyDescent="0.25">
      <c r="G665">
        <v>0.625</v>
      </c>
      <c r="H665">
        <f t="shared" si="9"/>
        <v>69.440000000831418</v>
      </c>
    </row>
    <row r="666" spans="7:8" x14ac:dyDescent="0.25">
      <c r="G666">
        <v>0.626</v>
      </c>
      <c r="H666">
        <f t="shared" si="9"/>
        <v>69.333156407424653</v>
      </c>
    </row>
    <row r="667" spans="7:8" x14ac:dyDescent="0.25">
      <c r="G667">
        <v>0.627</v>
      </c>
      <c r="H667">
        <f t="shared" si="9"/>
        <v>69.2266406200186</v>
      </c>
    </row>
    <row r="668" spans="7:8" x14ac:dyDescent="0.25">
      <c r="G668">
        <v>0.628</v>
      </c>
      <c r="H668">
        <f t="shared" si="9"/>
        <v>69.120451134678135</v>
      </c>
    </row>
    <row r="669" spans="7:8" x14ac:dyDescent="0.25">
      <c r="G669">
        <v>0.629</v>
      </c>
      <c r="H669">
        <f t="shared" si="9"/>
        <v>69.014586456638142</v>
      </c>
    </row>
    <row r="670" spans="7:8" x14ac:dyDescent="0.25">
      <c r="G670">
        <v>0.63</v>
      </c>
      <c r="H670">
        <f t="shared" si="9"/>
        <v>68.909045100233968</v>
      </c>
    </row>
    <row r="671" spans="7:8" x14ac:dyDescent="0.25">
      <c r="G671">
        <v>0.63100000000000001</v>
      </c>
      <c r="H671">
        <f t="shared" si="9"/>
        <v>68.803825588832566</v>
      </c>
    </row>
    <row r="672" spans="7:8" x14ac:dyDescent="0.25">
      <c r="G672">
        <v>0.63200000000000001</v>
      </c>
      <c r="H672">
        <f t="shared" si="9"/>
        <v>68.698926454763949</v>
      </c>
    </row>
    <row r="673" spans="7:8" x14ac:dyDescent="0.25">
      <c r="G673">
        <v>0.63300000000000001</v>
      </c>
      <c r="H673">
        <f t="shared" si="9"/>
        <v>68.594346239253824</v>
      </c>
    </row>
    <row r="674" spans="7:8" x14ac:dyDescent="0.25">
      <c r="G674">
        <v>0.63400000000000001</v>
      </c>
      <c r="H674">
        <f t="shared" si="9"/>
        <v>68.490083492355694</v>
      </c>
    </row>
    <row r="675" spans="7:8" x14ac:dyDescent="0.25">
      <c r="G675">
        <v>0.63500000000000001</v>
      </c>
      <c r="H675">
        <f t="shared" si="9"/>
        <v>68.386136772884726</v>
      </c>
    </row>
    <row r="676" spans="7:8" x14ac:dyDescent="0.25">
      <c r="G676">
        <v>0.63600000000000001</v>
      </c>
      <c r="H676">
        <f t="shared" si="9"/>
        <v>68.282504648351889</v>
      </c>
    </row>
    <row r="677" spans="7:8" x14ac:dyDescent="0.25">
      <c r="G677">
        <v>0.63700000000000001</v>
      </c>
      <c r="H677">
        <f t="shared" si="9"/>
        <v>68.179185694898422</v>
      </c>
    </row>
    <row r="678" spans="7:8" x14ac:dyDescent="0.25">
      <c r="G678">
        <v>0.63800000000000001</v>
      </c>
      <c r="H678">
        <f t="shared" si="9"/>
        <v>68.076178497231126</v>
      </c>
    </row>
    <row r="679" spans="7:8" x14ac:dyDescent="0.25">
      <c r="G679">
        <v>0.63900000000000001</v>
      </c>
      <c r="H679">
        <f t="shared" si="9"/>
        <v>67.973481648557822</v>
      </c>
    </row>
    <row r="680" spans="7:8" x14ac:dyDescent="0.25">
      <c r="G680">
        <v>0.64</v>
      </c>
      <c r="H680">
        <f t="shared" si="9"/>
        <v>67.871093750524423</v>
      </c>
    </row>
    <row r="681" spans="7:8" x14ac:dyDescent="0.25">
      <c r="G681">
        <v>0.64100000000000001</v>
      </c>
      <c r="H681">
        <f t="shared" ref="H681:H744" si="10">D(G681,45)</f>
        <v>67.769013413151171</v>
      </c>
    </row>
    <row r="682" spans="7:8" x14ac:dyDescent="0.25">
      <c r="G682">
        <v>0.64200000000000002</v>
      </c>
      <c r="H682">
        <f t="shared" si="10"/>
        <v>67.667239254770791</v>
      </c>
    </row>
    <row r="683" spans="7:8" x14ac:dyDescent="0.25">
      <c r="G683">
        <v>0.64300000000000002</v>
      </c>
      <c r="H683">
        <f t="shared" si="10"/>
        <v>67.565769901965766</v>
      </c>
    </row>
    <row r="684" spans="7:8" x14ac:dyDescent="0.25">
      <c r="G684">
        <v>0.64400000000000002</v>
      </c>
      <c r="H684">
        <f t="shared" si="10"/>
        <v>67.464603989507808</v>
      </c>
    </row>
    <row r="685" spans="7:8" x14ac:dyDescent="0.25">
      <c r="G685">
        <v>0.64500000000000002</v>
      </c>
      <c r="H685">
        <f t="shared" si="10"/>
        <v>67.363740160296373</v>
      </c>
    </row>
    <row r="686" spans="7:8" x14ac:dyDescent="0.25">
      <c r="G686">
        <v>0.64600000000000002</v>
      </c>
      <c r="H686">
        <f t="shared" si="10"/>
        <v>67.263177065298876</v>
      </c>
    </row>
    <row r="687" spans="7:8" x14ac:dyDescent="0.25">
      <c r="G687">
        <v>0.64700000000000002</v>
      </c>
      <c r="H687">
        <f t="shared" si="10"/>
        <v>67.162913363490375</v>
      </c>
    </row>
    <row r="688" spans="7:8" x14ac:dyDescent="0.25">
      <c r="G688">
        <v>0.64800000000000002</v>
      </c>
      <c r="H688">
        <f t="shared" si="10"/>
        <v>67.062947721794856</v>
      </c>
    </row>
    <row r="689" spans="7:8" x14ac:dyDescent="0.25">
      <c r="G689">
        <v>0.64900000000000002</v>
      </c>
      <c r="H689">
        <f t="shared" si="10"/>
        <v>66.963278815026314</v>
      </c>
    </row>
    <row r="690" spans="7:8" x14ac:dyDescent="0.25">
      <c r="G690">
        <v>0.65</v>
      </c>
      <c r="H690">
        <f t="shared" si="10"/>
        <v>66.863905325830487</v>
      </c>
    </row>
    <row r="691" spans="7:8" x14ac:dyDescent="0.25">
      <c r="G691">
        <v>0.65100000000000002</v>
      </c>
      <c r="H691">
        <f t="shared" si="10"/>
        <v>66.764825944627304</v>
      </c>
    </row>
    <row r="692" spans="7:8" x14ac:dyDescent="0.25">
      <c r="G692">
        <v>0.65200000000000002</v>
      </c>
      <c r="H692">
        <f t="shared" si="10"/>
        <v>66.666039369553545</v>
      </c>
    </row>
    <row r="693" spans="7:8" x14ac:dyDescent="0.25">
      <c r="G693">
        <v>0.65300000000000002</v>
      </c>
      <c r="H693">
        <f t="shared" si="10"/>
        <v>66.567544306406688</v>
      </c>
    </row>
    <row r="694" spans="7:8" x14ac:dyDescent="0.25">
      <c r="G694">
        <v>0.65400000000000003</v>
      </c>
      <c r="H694">
        <f t="shared" si="10"/>
        <v>66.469339468587862</v>
      </c>
    </row>
    <row r="695" spans="7:8" x14ac:dyDescent="0.25">
      <c r="G695">
        <v>0.65500000000000003</v>
      </c>
      <c r="H695">
        <f t="shared" si="10"/>
        <v>66.371423577047011</v>
      </c>
    </row>
    <row r="696" spans="7:8" x14ac:dyDescent="0.25">
      <c r="G696">
        <v>0.65600000000000003</v>
      </c>
      <c r="H696">
        <f t="shared" si="10"/>
        <v>66.273795360227254</v>
      </c>
    </row>
    <row r="697" spans="7:8" x14ac:dyDescent="0.25">
      <c r="G697">
        <v>0.65700000000000003</v>
      </c>
      <c r="H697">
        <f t="shared" si="10"/>
        <v>66.176453554010408</v>
      </c>
    </row>
    <row r="698" spans="7:8" x14ac:dyDescent="0.25">
      <c r="G698">
        <v>0.65800000000000003</v>
      </c>
      <c r="H698">
        <f t="shared" si="10"/>
        <v>66.079396901662491</v>
      </c>
    </row>
    <row r="699" spans="7:8" x14ac:dyDescent="0.25">
      <c r="G699">
        <v>0.65900000000000003</v>
      </c>
      <c r="H699">
        <f t="shared" si="10"/>
        <v>65.982624153780378</v>
      </c>
    </row>
    <row r="700" spans="7:8" x14ac:dyDescent="0.25">
      <c r="G700">
        <v>0.66</v>
      </c>
      <c r="H700">
        <f t="shared" si="10"/>
        <v>65.886134068238007</v>
      </c>
    </row>
    <row r="701" spans="7:8" x14ac:dyDescent="0.25">
      <c r="G701">
        <v>0.66100000000000003</v>
      </c>
      <c r="H701">
        <f t="shared" si="10"/>
        <v>65.789925410134032</v>
      </c>
    </row>
    <row r="702" spans="7:8" x14ac:dyDescent="0.25">
      <c r="G702">
        <v>0.66200000000000003</v>
      </c>
      <c r="H702">
        <f t="shared" si="10"/>
        <v>65.69399695173901</v>
      </c>
    </row>
    <row r="703" spans="7:8" x14ac:dyDescent="0.25">
      <c r="G703">
        <v>0.66300000000000003</v>
      </c>
      <c r="H703">
        <f t="shared" si="10"/>
        <v>65.598347472444075</v>
      </c>
    </row>
    <row r="704" spans="7:8" x14ac:dyDescent="0.25">
      <c r="G704">
        <v>0.66400000000000003</v>
      </c>
      <c r="H704">
        <f t="shared" si="10"/>
        <v>65.502975758708914</v>
      </c>
    </row>
    <row r="705" spans="7:8" x14ac:dyDescent="0.25">
      <c r="G705">
        <v>0.66500000000000004</v>
      </c>
      <c r="H705">
        <f t="shared" si="10"/>
        <v>65.407880604010927</v>
      </c>
    </row>
    <row r="706" spans="7:8" x14ac:dyDescent="0.25">
      <c r="G706">
        <v>0.66600000000000004</v>
      </c>
      <c r="H706">
        <f t="shared" si="10"/>
        <v>65.313060808794916</v>
      </c>
    </row>
    <row r="707" spans="7:8" x14ac:dyDescent="0.25">
      <c r="G707">
        <v>0.66700000000000004</v>
      </c>
      <c r="H707">
        <f t="shared" si="10"/>
        <v>65.218515180422585</v>
      </c>
    </row>
    <row r="708" spans="7:8" x14ac:dyDescent="0.25">
      <c r="G708">
        <v>0.66800000000000004</v>
      </c>
      <c r="H708">
        <f t="shared" si="10"/>
        <v>65.124242533122967</v>
      </c>
    </row>
    <row r="709" spans="7:8" x14ac:dyDescent="0.25">
      <c r="G709">
        <v>0.66900000000000004</v>
      </c>
      <c r="H709">
        <f t="shared" si="10"/>
        <v>65.030241687943331</v>
      </c>
    </row>
    <row r="710" spans="7:8" x14ac:dyDescent="0.25">
      <c r="G710">
        <v>0.67</v>
      </c>
      <c r="H710">
        <f t="shared" si="10"/>
        <v>64.936511472699962</v>
      </c>
    </row>
    <row r="711" spans="7:8" x14ac:dyDescent="0.25">
      <c r="G711">
        <v>0.67100000000000004</v>
      </c>
      <c r="H711">
        <f t="shared" si="10"/>
        <v>64.843050721929941</v>
      </c>
    </row>
    <row r="712" spans="7:8" x14ac:dyDescent="0.25">
      <c r="G712">
        <v>0.67200000000000004</v>
      </c>
      <c r="H712">
        <f t="shared" si="10"/>
        <v>64.749858276843298</v>
      </c>
    </row>
    <row r="713" spans="7:8" x14ac:dyDescent="0.25">
      <c r="G713">
        <v>0.67300000000000004</v>
      </c>
      <c r="H713">
        <f t="shared" si="10"/>
        <v>64.656932985275049</v>
      </c>
    </row>
    <row r="714" spans="7:8" x14ac:dyDescent="0.25">
      <c r="G714">
        <v>0.67400000000000004</v>
      </c>
      <c r="H714">
        <f t="shared" si="10"/>
        <v>64.564273701638058</v>
      </c>
    </row>
    <row r="715" spans="7:8" x14ac:dyDescent="0.25">
      <c r="G715">
        <v>0.67500000000000004</v>
      </c>
      <c r="H715">
        <f t="shared" si="10"/>
        <v>64.471879286876373</v>
      </c>
    </row>
    <row r="716" spans="7:8" x14ac:dyDescent="0.25">
      <c r="G716">
        <v>0.67600000000000005</v>
      </c>
      <c r="H716">
        <f t="shared" si="10"/>
        <v>64.37974860841895</v>
      </c>
    </row>
    <row r="717" spans="7:8" x14ac:dyDescent="0.25">
      <c r="G717">
        <v>0.67700000000000005</v>
      </c>
      <c r="H717">
        <f t="shared" si="10"/>
        <v>64.287880540133145</v>
      </c>
    </row>
    <row r="718" spans="7:8" x14ac:dyDescent="0.25">
      <c r="G718">
        <v>0.67800000000000005</v>
      </c>
      <c r="H718">
        <f t="shared" si="10"/>
        <v>64.196273962279847</v>
      </c>
    </row>
    <row r="719" spans="7:8" x14ac:dyDescent="0.25">
      <c r="G719">
        <v>0.67900000000000005</v>
      </c>
      <c r="H719">
        <f t="shared" si="10"/>
        <v>64.104927761467195</v>
      </c>
    </row>
    <row r="720" spans="7:8" x14ac:dyDescent="0.25">
      <c r="G720">
        <v>0.68</v>
      </c>
      <c r="H720">
        <f t="shared" si="10"/>
        <v>64.01384083060681</v>
      </c>
    </row>
    <row r="721" spans="7:8" x14ac:dyDescent="0.25">
      <c r="G721">
        <v>0.68100000000000005</v>
      </c>
      <c r="H721">
        <f t="shared" si="10"/>
        <v>63.9230120688689</v>
      </c>
    </row>
    <row r="722" spans="7:8" x14ac:dyDescent="0.25">
      <c r="G722">
        <v>0.68200000000000005</v>
      </c>
      <c r="H722">
        <f t="shared" si="10"/>
        <v>63.832440381637653</v>
      </c>
    </row>
    <row r="723" spans="7:8" x14ac:dyDescent="0.25">
      <c r="G723">
        <v>0.68300000000000005</v>
      </c>
      <c r="H723">
        <f t="shared" si="10"/>
        <v>63.742124680468415</v>
      </c>
    </row>
    <row r="724" spans="7:8" x14ac:dyDescent="0.25">
      <c r="G724">
        <v>0.68400000000000005</v>
      </c>
      <c r="H724">
        <f t="shared" si="10"/>
        <v>63.65206388304361</v>
      </c>
    </row>
    <row r="725" spans="7:8" x14ac:dyDescent="0.25">
      <c r="G725">
        <v>0.68500000000000005</v>
      </c>
      <c r="H725">
        <f t="shared" si="10"/>
        <v>63.56225691313022</v>
      </c>
    </row>
    <row r="726" spans="7:8" x14ac:dyDescent="0.25">
      <c r="G726">
        <v>0.68600000000000005</v>
      </c>
      <c r="H726">
        <f t="shared" si="10"/>
        <v>63.472702700536907</v>
      </c>
    </row>
    <row r="727" spans="7:8" x14ac:dyDescent="0.25">
      <c r="G727">
        <v>0.68700000000000006</v>
      </c>
      <c r="H727">
        <f t="shared" si="10"/>
        <v>63.383400181071728</v>
      </c>
    </row>
    <row r="728" spans="7:8" x14ac:dyDescent="0.25">
      <c r="G728">
        <v>0.68799999999999994</v>
      </c>
      <c r="H728">
        <f t="shared" si="10"/>
        <v>63.294348296500303</v>
      </c>
    </row>
    <row r="729" spans="7:8" x14ac:dyDescent="0.25">
      <c r="G729">
        <v>0.68899999999999995</v>
      </c>
      <c r="H729">
        <f t="shared" si="10"/>
        <v>63.205545994504334</v>
      </c>
    </row>
    <row r="730" spans="7:8" x14ac:dyDescent="0.25">
      <c r="G730">
        <v>0.69</v>
      </c>
      <c r="H730">
        <f t="shared" si="10"/>
        <v>63.1169922286402</v>
      </c>
    </row>
    <row r="731" spans="7:8" x14ac:dyDescent="0.25">
      <c r="G731">
        <v>0.69099999999999995</v>
      </c>
      <c r="H731">
        <f t="shared" si="10"/>
        <v>63.028685958298119</v>
      </c>
    </row>
    <row r="732" spans="7:8" x14ac:dyDescent="0.25">
      <c r="G732">
        <v>0.69199999999999995</v>
      </c>
      <c r="H732">
        <f t="shared" si="10"/>
        <v>62.940626148661678</v>
      </c>
    </row>
    <row r="733" spans="7:8" x14ac:dyDescent="0.25">
      <c r="G733">
        <v>0.69299999999999995</v>
      </c>
      <c r="H733">
        <f t="shared" si="10"/>
        <v>62.8528117706676</v>
      </c>
    </row>
    <row r="734" spans="7:8" x14ac:dyDescent="0.25">
      <c r="G734">
        <v>0.69399999999999995</v>
      </c>
      <c r="H734">
        <f t="shared" si="10"/>
        <v>62.765241800965867</v>
      </c>
    </row>
    <row r="735" spans="7:8" x14ac:dyDescent="0.25">
      <c r="G735">
        <v>0.69499999999999995</v>
      </c>
      <c r="H735">
        <f t="shared" si="10"/>
        <v>62.677915221880212</v>
      </c>
    </row>
    <row r="736" spans="7:8" x14ac:dyDescent="0.25">
      <c r="G736">
        <v>0.69599999999999995</v>
      </c>
      <c r="H736">
        <f t="shared" si="10"/>
        <v>62.590831021368821</v>
      </c>
    </row>
    <row r="737" spans="7:8" x14ac:dyDescent="0.25">
      <c r="G737">
        <v>0.69699999999999995</v>
      </c>
      <c r="H737">
        <f t="shared" si="10"/>
        <v>62.503988192985659</v>
      </c>
    </row>
    <row r="738" spans="7:8" x14ac:dyDescent="0.25">
      <c r="G738">
        <v>0.69799999999999995</v>
      </c>
      <c r="H738">
        <f t="shared" si="10"/>
        <v>62.417385735841563</v>
      </c>
    </row>
    <row r="739" spans="7:8" x14ac:dyDescent="0.25">
      <c r="G739">
        <v>0.69899999999999995</v>
      </c>
      <c r="H739">
        <f t="shared" si="10"/>
        <v>62.331022654566397</v>
      </c>
    </row>
    <row r="740" spans="7:8" x14ac:dyDescent="0.25">
      <c r="G740">
        <v>0.7</v>
      </c>
      <c r="H740">
        <f t="shared" si="10"/>
        <v>62.244897959270723</v>
      </c>
    </row>
    <row r="741" spans="7:8" x14ac:dyDescent="0.25">
      <c r="G741">
        <v>0.70099999999999996</v>
      </c>
      <c r="H741">
        <f t="shared" si="10"/>
        <v>62.159010665508454</v>
      </c>
    </row>
    <row r="742" spans="7:8" x14ac:dyDescent="0.25">
      <c r="G742">
        <v>0.70199999999999996</v>
      </c>
      <c r="H742">
        <f t="shared" si="10"/>
        <v>62.073359794239593</v>
      </c>
    </row>
    <row r="743" spans="7:8" x14ac:dyDescent="0.25">
      <c r="G743">
        <v>0.70299999999999996</v>
      </c>
      <c r="H743">
        <f t="shared" si="10"/>
        <v>61.987944371792906</v>
      </c>
    </row>
    <row r="744" spans="7:8" x14ac:dyDescent="0.25">
      <c r="G744">
        <v>0.70399999999999996</v>
      </c>
      <c r="H744">
        <f t="shared" si="10"/>
        <v>61.902763429829442</v>
      </c>
    </row>
    <row r="745" spans="7:8" x14ac:dyDescent="0.25">
      <c r="G745">
        <v>0.70499999999999996</v>
      </c>
      <c r="H745">
        <f t="shared" ref="H745:H808" si="11">D(G745,45)</f>
        <v>61.817816005306256</v>
      </c>
    </row>
    <row r="746" spans="7:8" x14ac:dyDescent="0.25">
      <c r="G746">
        <v>0.70599999999999996</v>
      </c>
      <c r="H746">
        <f t="shared" si="11"/>
        <v>61.733101140440056</v>
      </c>
    </row>
    <row r="747" spans="7:8" x14ac:dyDescent="0.25">
      <c r="G747">
        <v>0.70699999999999996</v>
      </c>
      <c r="H747">
        <f t="shared" si="11"/>
        <v>61.648617882671459</v>
      </c>
    </row>
    <row r="748" spans="7:8" x14ac:dyDescent="0.25">
      <c r="G748">
        <v>0.70799999999999996</v>
      </c>
      <c r="H748">
        <f t="shared" si="11"/>
        <v>61.564365284629503</v>
      </c>
    </row>
    <row r="749" spans="7:8" x14ac:dyDescent="0.25">
      <c r="G749">
        <v>0.70899999999999996</v>
      </c>
      <c r="H749">
        <f t="shared" si="11"/>
        <v>61.480342404096476</v>
      </c>
    </row>
    <row r="750" spans="7:8" x14ac:dyDescent="0.25">
      <c r="G750">
        <v>0.71</v>
      </c>
      <c r="H750">
        <f t="shared" si="11"/>
        <v>61.396548303972907</v>
      </c>
    </row>
    <row r="751" spans="7:8" x14ac:dyDescent="0.25">
      <c r="G751">
        <v>0.71099999999999997</v>
      </c>
      <c r="H751">
        <f t="shared" si="11"/>
        <v>61.312982052242923</v>
      </c>
    </row>
    <row r="752" spans="7:8" x14ac:dyDescent="0.25">
      <c r="G752">
        <v>0.71199999999999997</v>
      </c>
      <c r="H752">
        <f t="shared" si="11"/>
        <v>61.229642721939847</v>
      </c>
    </row>
    <row r="753" spans="7:8" x14ac:dyDescent="0.25">
      <c r="G753">
        <v>0.71299999999999997</v>
      </c>
      <c r="H753">
        <f t="shared" si="11"/>
        <v>61.14652939111209</v>
      </c>
    </row>
    <row r="754" spans="7:8" x14ac:dyDescent="0.25">
      <c r="G754">
        <v>0.71399999999999997</v>
      </c>
      <c r="H754">
        <f t="shared" si="11"/>
        <v>61.063641142789436</v>
      </c>
    </row>
    <row r="755" spans="7:8" x14ac:dyDescent="0.25">
      <c r="G755">
        <v>0.71499999999999997</v>
      </c>
      <c r="H755">
        <f t="shared" si="11"/>
        <v>60.980977064949322</v>
      </c>
    </row>
    <row r="756" spans="7:8" x14ac:dyDescent="0.25">
      <c r="G756">
        <v>0.71599999999999997</v>
      </c>
      <c r="H756">
        <f t="shared" si="11"/>
        <v>60.898536250483716</v>
      </c>
    </row>
    <row r="757" spans="7:8" x14ac:dyDescent="0.25">
      <c r="G757">
        <v>0.71699999999999997</v>
      </c>
      <c r="H757">
        <f t="shared" si="11"/>
        <v>60.816317797165944</v>
      </c>
    </row>
    <row r="758" spans="7:8" x14ac:dyDescent="0.25">
      <c r="G758">
        <v>0.71799999999999997</v>
      </c>
      <c r="H758">
        <f t="shared" si="11"/>
        <v>60.734320807618147</v>
      </c>
    </row>
    <row r="759" spans="7:8" x14ac:dyDescent="0.25">
      <c r="G759">
        <v>0.71899999999999997</v>
      </c>
      <c r="H759">
        <f t="shared" si="11"/>
        <v>60.652544389278596</v>
      </c>
    </row>
    <row r="760" spans="7:8" x14ac:dyDescent="0.25">
      <c r="G760">
        <v>0.72</v>
      </c>
      <c r="H760">
        <f t="shared" si="11"/>
        <v>60.570987654369574</v>
      </c>
    </row>
    <row r="761" spans="7:8" x14ac:dyDescent="0.25">
      <c r="G761">
        <v>0.72099999999999997</v>
      </c>
      <c r="H761">
        <f t="shared" si="11"/>
        <v>60.489649719865355</v>
      </c>
    </row>
    <row r="762" spans="7:8" x14ac:dyDescent="0.25">
      <c r="G762">
        <v>0.72199999999999998</v>
      </c>
      <c r="H762">
        <f t="shared" si="11"/>
        <v>60.408529707460609</v>
      </c>
    </row>
    <row r="763" spans="7:8" x14ac:dyDescent="0.25">
      <c r="G763">
        <v>0.72299999999999998</v>
      </c>
      <c r="H763">
        <f t="shared" si="11"/>
        <v>60.327626743538808</v>
      </c>
    </row>
    <row r="764" spans="7:8" x14ac:dyDescent="0.25">
      <c r="G764">
        <v>0.72399999999999998</v>
      </c>
      <c r="H764">
        <f t="shared" si="11"/>
        <v>60.246939959140974</v>
      </c>
    </row>
    <row r="765" spans="7:8" x14ac:dyDescent="0.25">
      <c r="G765">
        <v>0.72499999999999998</v>
      </c>
      <c r="H765">
        <f t="shared" si="11"/>
        <v>60.166468489935042</v>
      </c>
    </row>
    <row r="766" spans="7:8" x14ac:dyDescent="0.25">
      <c r="G766">
        <v>0.72599999999999998</v>
      </c>
      <c r="H766">
        <f t="shared" si="11"/>
        <v>60.086211476184722</v>
      </c>
    </row>
    <row r="767" spans="7:8" x14ac:dyDescent="0.25">
      <c r="G767">
        <v>0.72699999999999998</v>
      </c>
      <c r="H767">
        <f t="shared" si="11"/>
        <v>60.006168062719333</v>
      </c>
    </row>
    <row r="768" spans="7:8" x14ac:dyDescent="0.25">
      <c r="G768">
        <v>0.72799999999999998</v>
      </c>
      <c r="H768">
        <f t="shared" si="11"/>
        <v>59.926337398903449</v>
      </c>
    </row>
    <row r="769" spans="7:8" x14ac:dyDescent="0.25">
      <c r="G769">
        <v>0.72899999999999998</v>
      </c>
      <c r="H769">
        <f t="shared" si="11"/>
        <v>59.846718638606966</v>
      </c>
    </row>
    <row r="770" spans="7:8" x14ac:dyDescent="0.25">
      <c r="G770">
        <v>0.73</v>
      </c>
      <c r="H770">
        <f t="shared" si="11"/>
        <v>59.7673109401753</v>
      </c>
    </row>
    <row r="771" spans="7:8" x14ac:dyDescent="0.25">
      <c r="G771">
        <v>0.73099999999999998</v>
      </c>
      <c r="H771">
        <f t="shared" si="11"/>
        <v>59.688113466399891</v>
      </c>
    </row>
    <row r="772" spans="7:8" x14ac:dyDescent="0.25">
      <c r="G772">
        <v>0.73199999999999998</v>
      </c>
      <c r="H772">
        <f t="shared" si="11"/>
        <v>59.609125384488998</v>
      </c>
    </row>
    <row r="773" spans="7:8" x14ac:dyDescent="0.25">
      <c r="G773">
        <v>0.73299999999999998</v>
      </c>
      <c r="H773">
        <f t="shared" si="11"/>
        <v>59.530345866038445</v>
      </c>
    </row>
    <row r="774" spans="7:8" x14ac:dyDescent="0.25">
      <c r="G774">
        <v>0.73399999999999999</v>
      </c>
      <c r="H774">
        <f t="shared" si="11"/>
        <v>59.45177408700318</v>
      </c>
    </row>
    <row r="775" spans="7:8" x14ac:dyDescent="0.25">
      <c r="G775">
        <v>0.73499999999999999</v>
      </c>
      <c r="H775">
        <f t="shared" si="11"/>
        <v>59.373409227668176</v>
      </c>
    </row>
    <row r="776" spans="7:8" x14ac:dyDescent="0.25">
      <c r="G776">
        <v>0.73599999999999999</v>
      </c>
      <c r="H776">
        <f t="shared" si="11"/>
        <v>59.295250472620452</v>
      </c>
    </row>
    <row r="777" spans="7:8" x14ac:dyDescent="0.25">
      <c r="G777">
        <v>0.73699999999999999</v>
      </c>
      <c r="H777">
        <f t="shared" si="11"/>
        <v>59.217297010720728</v>
      </c>
    </row>
    <row r="778" spans="7:8" x14ac:dyDescent="0.25">
      <c r="G778">
        <v>0.73799999999999999</v>
      </c>
      <c r="H778">
        <f t="shared" si="11"/>
        <v>59.139548035075691</v>
      </c>
    </row>
    <row r="779" spans="7:8" x14ac:dyDescent="0.25">
      <c r="G779">
        <v>0.73899999999999999</v>
      </c>
      <c r="H779">
        <f t="shared" si="11"/>
        <v>59.062002743010012</v>
      </c>
    </row>
    <row r="780" spans="7:8" x14ac:dyDescent="0.25">
      <c r="G780">
        <v>0.74</v>
      </c>
      <c r="H780">
        <f t="shared" si="11"/>
        <v>58.98466033603902</v>
      </c>
    </row>
    <row r="781" spans="7:8" x14ac:dyDescent="0.25">
      <c r="G781">
        <v>0.74099999999999999</v>
      </c>
      <c r="H781">
        <f t="shared" si="11"/>
        <v>58.907520019841485</v>
      </c>
    </row>
    <row r="782" spans="7:8" x14ac:dyDescent="0.25">
      <c r="G782">
        <v>0.74199999999999999</v>
      </c>
      <c r="H782">
        <f t="shared" si="11"/>
        <v>58.830581004232393</v>
      </c>
    </row>
    <row r="783" spans="7:8" x14ac:dyDescent="0.25">
      <c r="G783">
        <v>0.74299999999999999</v>
      </c>
      <c r="H783">
        <f t="shared" si="11"/>
        <v>58.753842503136241</v>
      </c>
    </row>
    <row r="784" spans="7:8" x14ac:dyDescent="0.25">
      <c r="G784">
        <v>0.74399999999999999</v>
      </c>
      <c r="H784">
        <f t="shared" si="11"/>
        <v>58.677303734560169</v>
      </c>
    </row>
    <row r="785" spans="7:8" x14ac:dyDescent="0.25">
      <c r="G785">
        <v>0.745</v>
      </c>
      <c r="H785">
        <f t="shared" si="11"/>
        <v>58.600963920567828</v>
      </c>
    </row>
    <row r="786" spans="7:8" x14ac:dyDescent="0.25">
      <c r="G786">
        <v>0.746</v>
      </c>
      <c r="H786">
        <f t="shared" si="11"/>
        <v>58.524822287252896</v>
      </c>
    </row>
    <row r="787" spans="7:8" x14ac:dyDescent="0.25">
      <c r="G787">
        <v>0.747</v>
      </c>
      <c r="H787">
        <f t="shared" si="11"/>
        <v>58.448878064713128</v>
      </c>
    </row>
    <row r="788" spans="7:8" x14ac:dyDescent="0.25">
      <c r="G788">
        <v>0.748</v>
      </c>
      <c r="H788">
        <f t="shared" si="11"/>
        <v>58.373130487024547</v>
      </c>
    </row>
    <row r="789" spans="7:8" x14ac:dyDescent="0.25">
      <c r="G789">
        <v>0.749</v>
      </c>
      <c r="H789">
        <f t="shared" si="11"/>
        <v>58.297578792215823</v>
      </c>
    </row>
    <row r="790" spans="7:8" x14ac:dyDescent="0.25">
      <c r="G790">
        <v>0.75</v>
      </c>
      <c r="H790">
        <f t="shared" si="11"/>
        <v>58.222222222242785</v>
      </c>
    </row>
    <row r="791" spans="7:8" x14ac:dyDescent="0.25">
      <c r="G791">
        <v>0.751</v>
      </c>
      <c r="H791">
        <f t="shared" si="11"/>
        <v>58.147060022963217</v>
      </c>
    </row>
    <row r="792" spans="7:8" x14ac:dyDescent="0.25">
      <c r="G792">
        <v>0.752</v>
      </c>
      <c r="H792">
        <f t="shared" si="11"/>
        <v>58.072091444111791</v>
      </c>
    </row>
    <row r="793" spans="7:8" x14ac:dyDescent="0.25">
      <c r="G793">
        <v>0.753</v>
      </c>
      <c r="H793">
        <f t="shared" si="11"/>
        <v>57.997315739275237</v>
      </c>
    </row>
    <row r="794" spans="7:8" x14ac:dyDescent="0.25">
      <c r="G794">
        <v>0.754</v>
      </c>
      <c r="H794">
        <f t="shared" si="11"/>
        <v>57.922732165867693</v>
      </c>
    </row>
    <row r="795" spans="7:8" x14ac:dyDescent="0.25">
      <c r="G795">
        <v>0.755</v>
      </c>
      <c r="H795">
        <f t="shared" si="11"/>
        <v>57.848339985106229</v>
      </c>
    </row>
    <row r="796" spans="7:8" x14ac:dyDescent="0.25">
      <c r="G796">
        <v>0.75600000000000001</v>
      </c>
      <c r="H796">
        <f t="shared" si="11"/>
        <v>57.77413846198651</v>
      </c>
    </row>
    <row r="797" spans="7:8" x14ac:dyDescent="0.25">
      <c r="G797">
        <v>0.75700000000000001</v>
      </c>
      <c r="H797">
        <f t="shared" si="11"/>
        <v>57.700126865258753</v>
      </c>
    </row>
    <row r="798" spans="7:8" x14ac:dyDescent="0.25">
      <c r="G798">
        <v>0.75800000000000001</v>
      </c>
      <c r="H798">
        <f t="shared" si="11"/>
        <v>57.626304467403855</v>
      </c>
    </row>
    <row r="799" spans="7:8" x14ac:dyDescent="0.25">
      <c r="G799">
        <v>0.75900000000000001</v>
      </c>
      <c r="H799">
        <f t="shared" si="11"/>
        <v>57.552670544609512</v>
      </c>
    </row>
    <row r="800" spans="7:8" x14ac:dyDescent="0.25">
      <c r="G800">
        <v>0.76</v>
      </c>
      <c r="H800">
        <f t="shared" si="11"/>
        <v>57.479224376746814</v>
      </c>
    </row>
    <row r="801" spans="7:8" x14ac:dyDescent="0.25">
      <c r="G801">
        <v>0.76100000000000001</v>
      </c>
      <c r="H801">
        <f t="shared" si="11"/>
        <v>57.405965247346792</v>
      </c>
    </row>
    <row r="802" spans="7:8" x14ac:dyDescent="0.25">
      <c r="G802">
        <v>0.76200000000000001</v>
      </c>
      <c r="H802">
        <f t="shared" si="11"/>
        <v>57.332892443577308</v>
      </c>
    </row>
    <row r="803" spans="7:8" x14ac:dyDescent="0.25">
      <c r="G803">
        <v>0.76300000000000001</v>
      </c>
      <c r="H803">
        <f t="shared" si="11"/>
        <v>57.260005256219905</v>
      </c>
    </row>
    <row r="804" spans="7:8" x14ac:dyDescent="0.25">
      <c r="G804">
        <v>0.76400000000000001</v>
      </c>
      <c r="H804">
        <f t="shared" si="11"/>
        <v>57.187302979647065</v>
      </c>
    </row>
    <row r="805" spans="7:8" x14ac:dyDescent="0.25">
      <c r="G805">
        <v>0.76500000000000001</v>
      </c>
      <c r="H805">
        <f t="shared" si="11"/>
        <v>57.114784911799518</v>
      </c>
    </row>
    <row r="806" spans="7:8" x14ac:dyDescent="0.25">
      <c r="G806">
        <v>0.76600000000000001</v>
      </c>
      <c r="H806">
        <f t="shared" si="11"/>
        <v>57.042450354163705</v>
      </c>
    </row>
    <row r="807" spans="7:8" x14ac:dyDescent="0.25">
      <c r="G807">
        <v>0.76700000000000002</v>
      </c>
      <c r="H807">
        <f t="shared" si="11"/>
        <v>56.970298611749492</v>
      </c>
    </row>
    <row r="808" spans="7:8" x14ac:dyDescent="0.25">
      <c r="G808">
        <v>0.76800000000000002</v>
      </c>
      <c r="H808">
        <f t="shared" si="11"/>
        <v>56.898328993067935</v>
      </c>
    </row>
    <row r="809" spans="7:8" x14ac:dyDescent="0.25">
      <c r="G809">
        <v>0.76900000000000002</v>
      </c>
      <c r="H809">
        <f t="shared" ref="H809:H872" si="12">D(G809,45)</f>
        <v>56.826540810109407</v>
      </c>
    </row>
    <row r="810" spans="7:8" x14ac:dyDescent="0.25">
      <c r="G810">
        <v>0.77</v>
      </c>
      <c r="H810">
        <f t="shared" si="12"/>
        <v>56.754933378321688</v>
      </c>
    </row>
    <row r="811" spans="7:8" x14ac:dyDescent="0.25">
      <c r="G811">
        <v>0.77100000000000002</v>
      </c>
      <c r="H811">
        <f t="shared" si="12"/>
        <v>56.683506016588304</v>
      </c>
    </row>
    <row r="812" spans="7:8" x14ac:dyDescent="0.25">
      <c r="G812">
        <v>0.77200000000000002</v>
      </c>
      <c r="H812">
        <f t="shared" si="12"/>
        <v>56.61225804720695</v>
      </c>
    </row>
    <row r="813" spans="7:8" x14ac:dyDescent="0.25">
      <c r="G813">
        <v>0.77300000000000002</v>
      </c>
      <c r="H813">
        <f t="shared" si="12"/>
        <v>56.541188795868337</v>
      </c>
    </row>
    <row r="814" spans="7:8" x14ac:dyDescent="0.25">
      <c r="G814">
        <v>0.77400000000000002</v>
      </c>
      <c r="H814">
        <f t="shared" si="12"/>
        <v>56.470297591634896</v>
      </c>
    </row>
    <row r="815" spans="7:8" x14ac:dyDescent="0.25">
      <c r="G815">
        <v>0.77500000000000002</v>
      </c>
      <c r="H815">
        <f t="shared" si="12"/>
        <v>56.399583766919655</v>
      </c>
    </row>
    <row r="816" spans="7:8" x14ac:dyDescent="0.25">
      <c r="G816">
        <v>0.77600000000000002</v>
      </c>
      <c r="H816">
        <f t="shared" si="12"/>
        <v>56.329046657465511</v>
      </c>
    </row>
    <row r="817" spans="7:8" x14ac:dyDescent="0.25">
      <c r="G817">
        <v>0.77700000000000002</v>
      </c>
      <c r="H817">
        <f t="shared" si="12"/>
        <v>56.258685602324533</v>
      </c>
    </row>
    <row r="818" spans="7:8" x14ac:dyDescent="0.25">
      <c r="G818">
        <v>0.77800000000000002</v>
      </c>
      <c r="H818">
        <f t="shared" si="12"/>
        <v>56.188499943837364</v>
      </c>
    </row>
    <row r="819" spans="7:8" x14ac:dyDescent="0.25">
      <c r="G819">
        <v>0.77900000000000003</v>
      </c>
      <c r="H819">
        <f t="shared" si="12"/>
        <v>56.118489027612704</v>
      </c>
    </row>
    <row r="820" spans="7:8" x14ac:dyDescent="0.25">
      <c r="G820">
        <v>0.78</v>
      </c>
      <c r="H820">
        <f t="shared" si="12"/>
        <v>56.048652202507192</v>
      </c>
    </row>
    <row r="821" spans="7:8" x14ac:dyDescent="0.25">
      <c r="G821">
        <v>0.78100000000000003</v>
      </c>
      <c r="H821">
        <f t="shared" si="12"/>
        <v>55.978988820605331</v>
      </c>
    </row>
    <row r="822" spans="7:8" x14ac:dyDescent="0.25">
      <c r="G822">
        <v>0.78200000000000003</v>
      </c>
      <c r="H822">
        <f t="shared" si="12"/>
        <v>55.909498237199365</v>
      </c>
    </row>
    <row r="823" spans="7:8" x14ac:dyDescent="0.25">
      <c r="G823">
        <v>0.78300000000000003</v>
      </c>
      <c r="H823">
        <f t="shared" si="12"/>
        <v>55.840179810769705</v>
      </c>
    </row>
    <row r="824" spans="7:8" x14ac:dyDescent="0.25">
      <c r="G824">
        <v>0.78400000000000003</v>
      </c>
      <c r="H824">
        <f t="shared" si="12"/>
        <v>55.771032902965025</v>
      </c>
    </row>
    <row r="825" spans="7:8" x14ac:dyDescent="0.25">
      <c r="G825">
        <v>0.78500000000000003</v>
      </c>
      <c r="H825">
        <f t="shared" si="12"/>
        <v>55.702056878582873</v>
      </c>
    </row>
    <row r="826" spans="7:8" x14ac:dyDescent="0.25">
      <c r="G826">
        <v>0.78600000000000003</v>
      </c>
      <c r="H826">
        <f t="shared" si="12"/>
        <v>55.6332511055504</v>
      </c>
    </row>
    <row r="827" spans="7:8" x14ac:dyDescent="0.25">
      <c r="G827">
        <v>0.78700000000000003</v>
      </c>
      <c r="H827">
        <f t="shared" si="12"/>
        <v>55.564614954904911</v>
      </c>
    </row>
    <row r="828" spans="7:8" x14ac:dyDescent="0.25">
      <c r="G828">
        <v>0.78800000000000003</v>
      </c>
      <c r="H828">
        <f t="shared" si="12"/>
        <v>55.496147800774949</v>
      </c>
    </row>
    <row r="829" spans="7:8" x14ac:dyDescent="0.25">
      <c r="G829">
        <v>0.78900000000000003</v>
      </c>
      <c r="H829">
        <f t="shared" si="12"/>
        <v>55.427849020361208</v>
      </c>
    </row>
    <row r="830" spans="7:8" x14ac:dyDescent="0.25">
      <c r="G830">
        <v>0.79</v>
      </c>
      <c r="H830">
        <f t="shared" si="12"/>
        <v>55.359717993917947</v>
      </c>
    </row>
    <row r="831" spans="7:8" x14ac:dyDescent="0.25">
      <c r="G831">
        <v>0.79100000000000004</v>
      </c>
      <c r="H831">
        <f t="shared" si="12"/>
        <v>55.291754104734011</v>
      </c>
    </row>
    <row r="832" spans="7:8" x14ac:dyDescent="0.25">
      <c r="G832">
        <v>0.79200000000000004</v>
      </c>
      <c r="H832">
        <f t="shared" si="12"/>
        <v>55.223956739114584</v>
      </c>
    </row>
    <row r="833" spans="7:8" x14ac:dyDescent="0.25">
      <c r="G833">
        <v>0.79300000000000004</v>
      </c>
      <c r="H833">
        <f t="shared" si="12"/>
        <v>55.156325286362645</v>
      </c>
    </row>
    <row r="834" spans="7:8" x14ac:dyDescent="0.25">
      <c r="G834">
        <v>0.79400000000000004</v>
      </c>
      <c r="H834">
        <f t="shared" si="12"/>
        <v>55.088859138760775</v>
      </c>
    </row>
    <row r="835" spans="7:8" x14ac:dyDescent="0.25">
      <c r="G835">
        <v>0.79500000000000004</v>
      </c>
      <c r="H835">
        <f t="shared" si="12"/>
        <v>55.021557691552864</v>
      </c>
    </row>
    <row r="836" spans="7:8" x14ac:dyDescent="0.25">
      <c r="G836">
        <v>0.79600000000000004</v>
      </c>
      <c r="H836">
        <f t="shared" si="12"/>
        <v>54.95442034292634</v>
      </c>
    </row>
    <row r="837" spans="7:8" x14ac:dyDescent="0.25">
      <c r="G837">
        <v>0.79700000000000004</v>
      </c>
      <c r="H837">
        <f t="shared" si="12"/>
        <v>54.887446493994091</v>
      </c>
    </row>
    <row r="838" spans="7:8" x14ac:dyDescent="0.25">
      <c r="G838">
        <v>0.79800000000000004</v>
      </c>
      <c r="H838">
        <f t="shared" si="12"/>
        <v>54.820635548777062</v>
      </c>
    </row>
    <row r="839" spans="7:8" x14ac:dyDescent="0.25">
      <c r="G839">
        <v>0.79900000000000004</v>
      </c>
      <c r="H839">
        <f t="shared" si="12"/>
        <v>54.753986914186136</v>
      </c>
    </row>
    <row r="840" spans="7:8" x14ac:dyDescent="0.25">
      <c r="G840">
        <v>0.8</v>
      </c>
      <c r="H840">
        <f t="shared" si="12"/>
        <v>54.687500000005073</v>
      </c>
    </row>
    <row r="841" spans="7:8" x14ac:dyDescent="0.25">
      <c r="G841">
        <v>0.80100000000000005</v>
      </c>
      <c r="H841">
        <f t="shared" si="12"/>
        <v>54.621174218873044</v>
      </c>
    </row>
    <row r="842" spans="7:8" x14ac:dyDescent="0.25">
      <c r="G842">
        <v>0.80200000000000005</v>
      </c>
      <c r="H842">
        <f t="shared" si="12"/>
        <v>54.555008986267339</v>
      </c>
    </row>
    <row r="843" spans="7:8" x14ac:dyDescent="0.25">
      <c r="G843">
        <v>0.80300000000000005</v>
      </c>
      <c r="H843">
        <f t="shared" si="12"/>
        <v>54.489003720486274</v>
      </c>
    </row>
    <row r="844" spans="7:8" x14ac:dyDescent="0.25">
      <c r="G844">
        <v>0.80400000000000005</v>
      </c>
      <c r="H844">
        <f t="shared" si="12"/>
        <v>54.423157842632222</v>
      </c>
    </row>
    <row r="845" spans="7:8" x14ac:dyDescent="0.25">
      <c r="G845">
        <v>0.80500000000000005</v>
      </c>
      <c r="H845">
        <f t="shared" si="12"/>
        <v>54.35747077659483</v>
      </c>
    </row>
    <row r="846" spans="7:8" x14ac:dyDescent="0.25">
      <c r="G846">
        <v>0.80600000000000005</v>
      </c>
      <c r="H846">
        <f t="shared" si="12"/>
        <v>54.291941949034211</v>
      </c>
    </row>
    <row r="847" spans="7:8" x14ac:dyDescent="0.25">
      <c r="G847">
        <v>0.80700000000000005</v>
      </c>
      <c r="H847">
        <f t="shared" si="12"/>
        <v>54.226570789364338</v>
      </c>
    </row>
    <row r="848" spans="7:8" x14ac:dyDescent="0.25">
      <c r="G848">
        <v>0.80800000000000005</v>
      </c>
      <c r="H848">
        <f t="shared" si="12"/>
        <v>54.161356729736447</v>
      </c>
    </row>
    <row r="849" spans="7:8" x14ac:dyDescent="0.25">
      <c r="G849">
        <v>0.80900000000000005</v>
      </c>
      <c r="H849">
        <f t="shared" si="12"/>
        <v>54.096299205022916</v>
      </c>
    </row>
    <row r="850" spans="7:8" x14ac:dyDescent="0.25">
      <c r="G850">
        <v>0.81</v>
      </c>
      <c r="H850">
        <f t="shared" si="12"/>
        <v>54.031397652800678</v>
      </c>
    </row>
    <row r="851" spans="7:8" x14ac:dyDescent="0.25">
      <c r="G851">
        <v>0.81100000000000005</v>
      </c>
      <c r="H851">
        <f t="shared" si="12"/>
        <v>53.966651513335385</v>
      </c>
    </row>
    <row r="852" spans="7:8" x14ac:dyDescent="0.25">
      <c r="G852">
        <v>0.81200000000000006</v>
      </c>
      <c r="H852">
        <f t="shared" si="12"/>
        <v>53.902060229565151</v>
      </c>
    </row>
    <row r="853" spans="7:8" x14ac:dyDescent="0.25">
      <c r="G853">
        <v>0.81299999999999994</v>
      </c>
      <c r="H853">
        <f t="shared" si="12"/>
        <v>53.837623247084743</v>
      </c>
    </row>
    <row r="854" spans="7:8" x14ac:dyDescent="0.25">
      <c r="G854">
        <v>0.81399999999999995</v>
      </c>
      <c r="H854">
        <f t="shared" si="12"/>
        <v>53.773340014129708</v>
      </c>
    </row>
    <row r="855" spans="7:8" x14ac:dyDescent="0.25">
      <c r="G855">
        <v>0.81499999999999995</v>
      </c>
      <c r="H855">
        <f t="shared" si="12"/>
        <v>53.709209981560832</v>
      </c>
    </row>
    <row r="856" spans="7:8" x14ac:dyDescent="0.25">
      <c r="G856">
        <v>0.81599999999999995</v>
      </c>
      <c r="H856">
        <f t="shared" si="12"/>
        <v>53.645232602848367</v>
      </c>
    </row>
    <row r="857" spans="7:8" x14ac:dyDescent="0.25">
      <c r="G857">
        <v>0.81699999999999995</v>
      </c>
      <c r="H857">
        <f t="shared" si="12"/>
        <v>53.581407334056649</v>
      </c>
    </row>
    <row r="858" spans="7:8" x14ac:dyDescent="0.25">
      <c r="G858">
        <v>0.81799999999999995</v>
      </c>
      <c r="H858">
        <f t="shared" si="12"/>
        <v>53.517733633828833</v>
      </c>
    </row>
    <row r="859" spans="7:8" x14ac:dyDescent="0.25">
      <c r="G859">
        <v>0.81899999999999995</v>
      </c>
      <c r="H859">
        <f t="shared" si="12"/>
        <v>53.454210963371509</v>
      </c>
    </row>
    <row r="860" spans="7:8" x14ac:dyDescent="0.25">
      <c r="G860">
        <v>0.82</v>
      </c>
      <c r="H860">
        <f t="shared" si="12"/>
        <v>53.390838786439609</v>
      </c>
    </row>
    <row r="861" spans="7:8" x14ac:dyDescent="0.25">
      <c r="G861">
        <v>0.82099999999999995</v>
      </c>
      <c r="H861">
        <f t="shared" si="12"/>
        <v>53.327616569321364</v>
      </c>
    </row>
    <row r="862" spans="7:8" x14ac:dyDescent="0.25">
      <c r="G862">
        <v>0.82199999999999995</v>
      </c>
      <c r="H862">
        <f t="shared" si="12"/>
        <v>53.264543780823395</v>
      </c>
    </row>
    <row r="863" spans="7:8" x14ac:dyDescent="0.25">
      <c r="G863">
        <v>0.82299999999999995</v>
      </c>
      <c r="H863">
        <f t="shared" si="12"/>
        <v>53.201619892255984</v>
      </c>
    </row>
    <row r="864" spans="7:8" x14ac:dyDescent="0.25">
      <c r="G864">
        <v>0.82399999999999995</v>
      </c>
      <c r="H864">
        <f t="shared" si="12"/>
        <v>53.138844377418046</v>
      </c>
    </row>
    <row r="865" spans="7:8" x14ac:dyDescent="0.25">
      <c r="G865">
        <v>0.82499999999999996</v>
      </c>
      <c r="H865">
        <f t="shared" si="12"/>
        <v>53.076216712582919</v>
      </c>
    </row>
    <row r="866" spans="7:8" x14ac:dyDescent="0.25">
      <c r="G866">
        <v>0.82599999999999996</v>
      </c>
      <c r="H866">
        <f t="shared" si="12"/>
        <v>53.013736376483578</v>
      </c>
    </row>
    <row r="867" spans="7:8" x14ac:dyDescent="0.25">
      <c r="G867">
        <v>0.82699999999999996</v>
      </c>
      <c r="H867">
        <f t="shared" si="12"/>
        <v>52.951402850298322</v>
      </c>
    </row>
    <row r="868" spans="7:8" x14ac:dyDescent="0.25">
      <c r="G868">
        <v>0.82799999999999996</v>
      </c>
      <c r="H868">
        <f t="shared" si="12"/>
        <v>52.889215617636431</v>
      </c>
    </row>
    <row r="869" spans="7:8" x14ac:dyDescent="0.25">
      <c r="G869">
        <v>0.82899999999999996</v>
      </c>
      <c r="H869">
        <f t="shared" si="12"/>
        <v>52.827174164523946</v>
      </c>
    </row>
    <row r="870" spans="7:8" x14ac:dyDescent="0.25">
      <c r="G870">
        <v>0.83</v>
      </c>
      <c r="H870">
        <f t="shared" si="12"/>
        <v>52.765277979389673</v>
      </c>
    </row>
    <row r="871" spans="7:8" x14ac:dyDescent="0.25">
      <c r="G871">
        <v>0.83099999999999996</v>
      </c>
      <c r="H871">
        <f t="shared" si="12"/>
        <v>52.703526553051098</v>
      </c>
    </row>
    <row r="872" spans="7:8" x14ac:dyDescent="0.25">
      <c r="G872">
        <v>0.83199999999999996</v>
      </c>
      <c r="H872">
        <f t="shared" si="12"/>
        <v>52.641919378700344</v>
      </c>
    </row>
    <row r="873" spans="7:8" x14ac:dyDescent="0.25">
      <c r="G873">
        <v>0.83299999999999996</v>
      </c>
      <c r="H873">
        <f t="shared" ref="H873:H936" si="13">D(G873,45)</f>
        <v>52.580455951890634</v>
      </c>
    </row>
    <row r="874" spans="7:8" x14ac:dyDescent="0.25">
      <c r="G874">
        <v>0.83399999999999996</v>
      </c>
      <c r="H874">
        <f t="shared" si="13"/>
        <v>52.519135770522304</v>
      </c>
    </row>
    <row r="875" spans="7:8" x14ac:dyDescent="0.25">
      <c r="G875">
        <v>0.83499999999999996</v>
      </c>
      <c r="H875">
        <f t="shared" si="13"/>
        <v>52.4579583348293</v>
      </c>
    </row>
    <row r="876" spans="7:8" x14ac:dyDescent="0.25">
      <c r="G876">
        <v>0.83599999999999997</v>
      </c>
      <c r="H876">
        <f t="shared" si="13"/>
        <v>52.39692314736579</v>
      </c>
    </row>
    <row r="877" spans="7:8" x14ac:dyDescent="0.25">
      <c r="G877">
        <v>0.83699999999999997</v>
      </c>
      <c r="H877">
        <f t="shared" si="13"/>
        <v>52.3360297129923</v>
      </c>
    </row>
    <row r="878" spans="7:8" x14ac:dyDescent="0.25">
      <c r="G878">
        <v>0.83799999999999997</v>
      </c>
      <c r="H878">
        <f t="shared" si="13"/>
        <v>52.275277538862944</v>
      </c>
    </row>
    <row r="879" spans="7:8" x14ac:dyDescent="0.25">
      <c r="G879">
        <v>0.83899999999999997</v>
      </c>
      <c r="H879">
        <f t="shared" si="13"/>
        <v>52.214666134411729</v>
      </c>
    </row>
    <row r="880" spans="7:8" x14ac:dyDescent="0.25">
      <c r="G880">
        <v>0.84</v>
      </c>
      <c r="H880">
        <f t="shared" si="13"/>
        <v>52.154195011339588</v>
      </c>
    </row>
    <row r="881" spans="7:8" x14ac:dyDescent="0.25">
      <c r="G881">
        <v>0.84099999999999997</v>
      </c>
      <c r="H881">
        <f t="shared" si="13"/>
        <v>52.093863683601263</v>
      </c>
    </row>
    <row r="882" spans="7:8" x14ac:dyDescent="0.25">
      <c r="G882">
        <v>0.84199999999999997</v>
      </c>
      <c r="H882">
        <f t="shared" si="13"/>
        <v>52.033671667392369</v>
      </c>
    </row>
    <row r="883" spans="7:8" x14ac:dyDescent="0.25">
      <c r="G883">
        <v>0.84299999999999997</v>
      </c>
      <c r="H883">
        <f t="shared" si="13"/>
        <v>51.97361848113642</v>
      </c>
    </row>
    <row r="884" spans="7:8" x14ac:dyDescent="0.25">
      <c r="G884">
        <v>0.84399999999999997</v>
      </c>
      <c r="H884">
        <f t="shared" si="13"/>
        <v>51.913703645472239</v>
      </c>
    </row>
    <row r="885" spans="7:8" x14ac:dyDescent="0.25">
      <c r="G885">
        <v>0.84499999999999997</v>
      </c>
      <c r="H885">
        <f t="shared" si="13"/>
        <v>51.853926683240893</v>
      </c>
    </row>
    <row r="886" spans="7:8" x14ac:dyDescent="0.25">
      <c r="G886">
        <v>0.84599999999999997</v>
      </c>
      <c r="H886">
        <f t="shared" si="13"/>
        <v>51.794287119473402</v>
      </c>
    </row>
    <row r="887" spans="7:8" x14ac:dyDescent="0.25">
      <c r="G887">
        <v>0.84699999999999998</v>
      </c>
      <c r="H887">
        <f t="shared" si="13"/>
        <v>51.734784481378142</v>
      </c>
    </row>
    <row r="888" spans="7:8" x14ac:dyDescent="0.25">
      <c r="G888">
        <v>0.84799999999999998</v>
      </c>
      <c r="H888">
        <f t="shared" si="13"/>
        <v>51.675418298328225</v>
      </c>
    </row>
    <row r="889" spans="7:8" x14ac:dyDescent="0.25">
      <c r="G889">
        <v>0.84899999999999998</v>
      </c>
      <c r="H889">
        <f t="shared" si="13"/>
        <v>51.616188101849154</v>
      </c>
    </row>
    <row r="890" spans="7:8" x14ac:dyDescent="0.25">
      <c r="G890">
        <v>0.85</v>
      </c>
      <c r="H890">
        <f t="shared" si="13"/>
        <v>51.557093425606851</v>
      </c>
    </row>
    <row r="891" spans="7:8" x14ac:dyDescent="0.25">
      <c r="G891">
        <v>0.85099999999999998</v>
      </c>
      <c r="H891">
        <f t="shared" si="13"/>
        <v>51.498133805395085</v>
      </c>
    </row>
    <row r="892" spans="7:8" x14ac:dyDescent="0.25">
      <c r="G892">
        <v>0.85199999999999998</v>
      </c>
      <c r="H892">
        <f t="shared" si="13"/>
        <v>51.439308779123564</v>
      </c>
    </row>
    <row r="893" spans="7:8" x14ac:dyDescent="0.25">
      <c r="G893">
        <v>0.85299999999999998</v>
      </c>
      <c r="H893">
        <f t="shared" si="13"/>
        <v>51.380617886805815</v>
      </c>
    </row>
    <row r="894" spans="7:8" x14ac:dyDescent="0.25">
      <c r="G894">
        <v>0.85399999999999998</v>
      </c>
      <c r="H894">
        <f t="shared" si="13"/>
        <v>51.322060670547259</v>
      </c>
    </row>
    <row r="895" spans="7:8" x14ac:dyDescent="0.25">
      <c r="G895">
        <v>0.85499999999999998</v>
      </c>
      <c r="H895">
        <f t="shared" si="13"/>
        <v>51.263636674533522</v>
      </c>
    </row>
    <row r="896" spans="7:8" x14ac:dyDescent="0.25">
      <c r="G896">
        <v>0.85599999999999998</v>
      </c>
      <c r="H896">
        <f t="shared" si="13"/>
        <v>51.205345445018175</v>
      </c>
    </row>
    <row r="897" spans="7:8" x14ac:dyDescent="0.25">
      <c r="G897">
        <v>0.85699999999999998</v>
      </c>
      <c r="H897">
        <f t="shared" si="13"/>
        <v>51.147186530311579</v>
      </c>
    </row>
    <row r="898" spans="7:8" x14ac:dyDescent="0.25">
      <c r="G898">
        <v>0.85799999999999998</v>
      </c>
      <c r="H898">
        <f t="shared" si="13"/>
        <v>51.089159480768956</v>
      </c>
    </row>
    <row r="899" spans="7:8" x14ac:dyDescent="0.25">
      <c r="G899">
        <v>0.85899999999999999</v>
      </c>
      <c r="H899">
        <f t="shared" si="13"/>
        <v>51.031263848778835</v>
      </c>
    </row>
    <row r="900" spans="7:8" x14ac:dyDescent="0.25">
      <c r="G900">
        <v>0.86</v>
      </c>
      <c r="H900">
        <f t="shared" si="13"/>
        <v>50.973499188751695</v>
      </c>
    </row>
    <row r="901" spans="7:8" x14ac:dyDescent="0.25">
      <c r="G901">
        <v>0.86099999999999999</v>
      </c>
      <c r="H901">
        <f t="shared" si="13"/>
        <v>50.915865057108491</v>
      </c>
    </row>
    <row r="902" spans="7:8" x14ac:dyDescent="0.25">
      <c r="G902">
        <v>0.86199999999999999</v>
      </c>
      <c r="H902">
        <f t="shared" si="13"/>
        <v>50.858361012269398</v>
      </c>
    </row>
    <row r="903" spans="7:8" x14ac:dyDescent="0.25">
      <c r="G903">
        <v>0.86299999999999999</v>
      </c>
      <c r="H903">
        <f t="shared" si="13"/>
        <v>50.800986614642532</v>
      </c>
    </row>
    <row r="904" spans="7:8" x14ac:dyDescent="0.25">
      <c r="G904">
        <v>0.86399999999999999</v>
      </c>
      <c r="H904">
        <f t="shared" si="13"/>
        <v>50.743741426612729</v>
      </c>
    </row>
    <row r="905" spans="7:8" x14ac:dyDescent="0.25">
      <c r="G905">
        <v>0.86499999999999999</v>
      </c>
      <c r="H905">
        <f t="shared" si="13"/>
        <v>50.686625012530577</v>
      </c>
    </row>
    <row r="906" spans="7:8" x14ac:dyDescent="0.25">
      <c r="G906">
        <v>0.86599999999999999</v>
      </c>
      <c r="H906">
        <f t="shared" si="13"/>
        <v>50.629636938701253</v>
      </c>
    </row>
    <row r="907" spans="7:8" x14ac:dyDescent="0.25">
      <c r="G907">
        <v>0.86699999999999999</v>
      </c>
      <c r="H907">
        <f t="shared" si="13"/>
        <v>50.572776773373853</v>
      </c>
    </row>
    <row r="908" spans="7:8" x14ac:dyDescent="0.25">
      <c r="G908">
        <v>0.86799999999999999</v>
      </c>
      <c r="H908">
        <f t="shared" si="13"/>
        <v>50.516044086730211</v>
      </c>
    </row>
    <row r="909" spans="7:8" x14ac:dyDescent="0.25">
      <c r="G909">
        <v>0.86899999999999999</v>
      </c>
      <c r="H909">
        <f t="shared" si="13"/>
        <v>50.459438450874181</v>
      </c>
    </row>
    <row r="910" spans="7:8" x14ac:dyDescent="0.25">
      <c r="G910">
        <v>0.87</v>
      </c>
      <c r="H910">
        <f t="shared" si="13"/>
        <v>50.402959439821089</v>
      </c>
    </row>
    <row r="911" spans="7:8" x14ac:dyDescent="0.25">
      <c r="G911">
        <v>0.871</v>
      </c>
      <c r="H911">
        <f t="shared" si="13"/>
        <v>50.346606629486871</v>
      </c>
    </row>
    <row r="912" spans="7:8" x14ac:dyDescent="0.25">
      <c r="G912">
        <v>0.872</v>
      </c>
      <c r="H912">
        <f t="shared" si="13"/>
        <v>50.290379597677678</v>
      </c>
    </row>
    <row r="913" spans="7:8" x14ac:dyDescent="0.25">
      <c r="G913">
        <v>0.873</v>
      </c>
      <c r="H913">
        <f t="shared" si="13"/>
        <v>50.234277924079166</v>
      </c>
    </row>
    <row r="914" spans="7:8" x14ac:dyDescent="0.25">
      <c r="G914">
        <v>0.874</v>
      </c>
      <c r="H914">
        <f t="shared" si="13"/>
        <v>50.178301190246231</v>
      </c>
    </row>
    <row r="915" spans="7:8" x14ac:dyDescent="0.25">
      <c r="G915">
        <v>0.875</v>
      </c>
      <c r="H915">
        <f t="shared" si="13"/>
        <v>50.122448979592505</v>
      </c>
    </row>
    <row r="916" spans="7:8" x14ac:dyDescent="0.25">
      <c r="G916">
        <v>0.876</v>
      </c>
      <c r="H916">
        <f t="shared" si="13"/>
        <v>50.066720877380206</v>
      </c>
    </row>
    <row r="917" spans="7:8" x14ac:dyDescent="0.25">
      <c r="G917">
        <v>0.877</v>
      </c>
      <c r="H917">
        <f t="shared" si="13"/>
        <v>50.011116470709723</v>
      </c>
    </row>
    <row r="918" spans="7:8" x14ac:dyDescent="0.25">
      <c r="G918">
        <v>0.878</v>
      </c>
      <c r="H918">
        <f t="shared" si="13"/>
        <v>49.955635348509581</v>
      </c>
    </row>
    <row r="919" spans="7:8" x14ac:dyDescent="0.25">
      <c r="G919">
        <v>0.879</v>
      </c>
      <c r="H919">
        <f t="shared" si="13"/>
        <v>49.900277101526427</v>
      </c>
    </row>
    <row r="920" spans="7:8" x14ac:dyDescent="0.25">
      <c r="G920">
        <v>0.88</v>
      </c>
      <c r="H920">
        <f t="shared" si="13"/>
        <v>49.845041322314657</v>
      </c>
    </row>
    <row r="921" spans="7:8" x14ac:dyDescent="0.25">
      <c r="G921">
        <v>0.88100000000000001</v>
      </c>
      <c r="H921">
        <f t="shared" si="13"/>
        <v>49.789927605226794</v>
      </c>
    </row>
    <row r="922" spans="7:8" x14ac:dyDescent="0.25">
      <c r="G922">
        <v>0.88200000000000001</v>
      </c>
      <c r="H922">
        <f t="shared" si="13"/>
        <v>49.734935546403555</v>
      </c>
    </row>
    <row r="923" spans="7:8" x14ac:dyDescent="0.25">
      <c r="G923">
        <v>0.88300000000000001</v>
      </c>
      <c r="H923">
        <f t="shared" si="13"/>
        <v>49.680064743763758</v>
      </c>
    </row>
    <row r="924" spans="7:8" x14ac:dyDescent="0.25">
      <c r="G924">
        <v>0.88400000000000001</v>
      </c>
      <c r="H924">
        <f t="shared" si="13"/>
        <v>49.6253147969949</v>
      </c>
    </row>
    <row r="925" spans="7:8" x14ac:dyDescent="0.25">
      <c r="G925">
        <v>0.88500000000000001</v>
      </c>
      <c r="H925">
        <f t="shared" si="13"/>
        <v>49.570685307543073</v>
      </c>
    </row>
    <row r="926" spans="7:8" x14ac:dyDescent="0.25">
      <c r="G926">
        <v>0.88600000000000001</v>
      </c>
      <c r="H926">
        <f t="shared" si="13"/>
        <v>49.516175878603711</v>
      </c>
    </row>
    <row r="927" spans="7:8" x14ac:dyDescent="0.25">
      <c r="G927">
        <v>0.88700000000000001</v>
      </c>
      <c r="H927">
        <f t="shared" si="13"/>
        <v>49.461786115111785</v>
      </c>
    </row>
    <row r="928" spans="7:8" x14ac:dyDescent="0.25">
      <c r="G928">
        <v>0.88800000000000001</v>
      </c>
      <c r="H928">
        <f t="shared" si="13"/>
        <v>49.407515623732316</v>
      </c>
    </row>
    <row r="929" spans="7:8" x14ac:dyDescent="0.25">
      <c r="G929">
        <v>0.88900000000000001</v>
      </c>
      <c r="H929">
        <f t="shared" si="13"/>
        <v>49.353364012850939</v>
      </c>
    </row>
    <row r="930" spans="7:8" x14ac:dyDescent="0.25">
      <c r="G930">
        <v>0.89</v>
      </c>
      <c r="H930">
        <f t="shared" si="13"/>
        <v>49.299330892564527</v>
      </c>
    </row>
    <row r="931" spans="7:8" x14ac:dyDescent="0.25">
      <c r="G931">
        <v>0.89100000000000001</v>
      </c>
      <c r="H931">
        <f t="shared" si="13"/>
        <v>49.245415874671849</v>
      </c>
    </row>
    <row r="932" spans="7:8" x14ac:dyDescent="0.25">
      <c r="G932">
        <v>0.89200000000000002</v>
      </c>
      <c r="H932">
        <f t="shared" si="13"/>
        <v>49.191618572664282</v>
      </c>
    </row>
    <row r="933" spans="7:8" x14ac:dyDescent="0.25">
      <c r="G933">
        <v>0.89300000000000002</v>
      </c>
      <c r="H933">
        <f t="shared" si="13"/>
        <v>49.137938601716655</v>
      </c>
    </row>
    <row r="934" spans="7:8" x14ac:dyDescent="0.25">
      <c r="G934">
        <v>0.89400000000000002</v>
      </c>
      <c r="H934">
        <f t="shared" si="13"/>
        <v>49.084375578678035</v>
      </c>
    </row>
    <row r="935" spans="7:8" x14ac:dyDescent="0.25">
      <c r="G935">
        <v>0.89500000000000002</v>
      </c>
      <c r="H935">
        <f t="shared" si="13"/>
        <v>49.030929122062773</v>
      </c>
    </row>
    <row r="936" spans="7:8" x14ac:dyDescent="0.25">
      <c r="G936">
        <v>0.89600000000000002</v>
      </c>
      <c r="H936">
        <f t="shared" si="13"/>
        <v>48.977598852041233</v>
      </c>
    </row>
    <row r="937" spans="7:8" x14ac:dyDescent="0.25">
      <c r="G937">
        <v>0.89700000000000002</v>
      </c>
      <c r="H937">
        <f t="shared" ref="H937:H1000" si="14">D(G937,45)</f>
        <v>48.924384390431008</v>
      </c>
    </row>
    <row r="938" spans="7:8" x14ac:dyDescent="0.25">
      <c r="G938">
        <v>0.89800000000000002</v>
      </c>
      <c r="H938">
        <f t="shared" si="14"/>
        <v>48.871285360688056</v>
      </c>
    </row>
    <row r="939" spans="7:8" x14ac:dyDescent="0.25">
      <c r="G939">
        <v>0.89900000000000002</v>
      </c>
      <c r="H939">
        <f t="shared" si="14"/>
        <v>48.818301387897669</v>
      </c>
    </row>
    <row r="940" spans="7:8" x14ac:dyDescent="0.25">
      <c r="G940">
        <v>0.9</v>
      </c>
      <c r="H940">
        <f t="shared" si="14"/>
        <v>48.765432098765807</v>
      </c>
    </row>
    <row r="941" spans="7:8" x14ac:dyDescent="0.25">
      <c r="G941">
        <v>0.90100000000000002</v>
      </c>
      <c r="H941">
        <f t="shared" si="14"/>
        <v>48.712677121610184</v>
      </c>
    </row>
    <row r="942" spans="7:8" x14ac:dyDescent="0.25">
      <c r="G942">
        <v>0.90200000000000002</v>
      </c>
      <c r="H942">
        <f t="shared" si="14"/>
        <v>48.660036086351916</v>
      </c>
    </row>
    <row r="943" spans="7:8" x14ac:dyDescent="0.25">
      <c r="G943">
        <v>0.90300000000000002</v>
      </c>
      <c r="H943">
        <f t="shared" si="14"/>
        <v>48.607508624506558</v>
      </c>
    </row>
    <row r="944" spans="7:8" x14ac:dyDescent="0.25">
      <c r="G944">
        <v>0.90400000000000003</v>
      </c>
      <c r="H944">
        <f t="shared" si="14"/>
        <v>48.555094369175684</v>
      </c>
    </row>
    <row r="945" spans="7:8" x14ac:dyDescent="0.25">
      <c r="G945">
        <v>0.90500000000000003</v>
      </c>
      <c r="H945">
        <f t="shared" si="14"/>
        <v>48.502792955038323</v>
      </c>
    </row>
    <row r="946" spans="7:8" x14ac:dyDescent="0.25">
      <c r="G946">
        <v>0.90600000000000003</v>
      </c>
      <c r="H946">
        <f t="shared" si="14"/>
        <v>48.450604018342574</v>
      </c>
    </row>
    <row r="947" spans="7:8" x14ac:dyDescent="0.25">
      <c r="G947">
        <v>0.90700000000000003</v>
      </c>
      <c r="H947">
        <f t="shared" si="14"/>
        <v>48.398527196897156</v>
      </c>
    </row>
    <row r="948" spans="7:8" x14ac:dyDescent="0.25">
      <c r="G948">
        <v>0.90800000000000003</v>
      </c>
      <c r="H948">
        <f t="shared" si="14"/>
        <v>48.346562130062985</v>
      </c>
    </row>
    <row r="949" spans="7:8" x14ac:dyDescent="0.25">
      <c r="G949">
        <v>0.90900000000000003</v>
      </c>
      <c r="H949">
        <f t="shared" si="14"/>
        <v>48.294708458744942</v>
      </c>
    </row>
    <row r="950" spans="7:8" x14ac:dyDescent="0.25">
      <c r="G950">
        <v>0.91</v>
      </c>
      <c r="H950">
        <f t="shared" si="14"/>
        <v>48.242965825383685</v>
      </c>
    </row>
    <row r="951" spans="7:8" x14ac:dyDescent="0.25">
      <c r="G951">
        <v>0.91100000000000003</v>
      </c>
      <c r="H951">
        <f t="shared" si="14"/>
        <v>48.191333873947308</v>
      </c>
    </row>
    <row r="952" spans="7:8" x14ac:dyDescent="0.25">
      <c r="G952">
        <v>0.91200000000000003</v>
      </c>
      <c r="H952">
        <f t="shared" si="14"/>
        <v>48.139812249923303</v>
      </c>
    </row>
    <row r="953" spans="7:8" x14ac:dyDescent="0.25">
      <c r="G953">
        <v>0.91300000000000003</v>
      </c>
      <c r="H953">
        <f t="shared" si="14"/>
        <v>48.088400600310486</v>
      </c>
    </row>
    <row r="954" spans="7:8" x14ac:dyDescent="0.25">
      <c r="G954">
        <v>0.91400000000000003</v>
      </c>
      <c r="H954">
        <f t="shared" si="14"/>
        <v>48.037098573610834</v>
      </c>
    </row>
    <row r="955" spans="7:8" x14ac:dyDescent="0.25">
      <c r="G955">
        <v>0.91500000000000004</v>
      </c>
      <c r="H955">
        <f t="shared" si="14"/>
        <v>47.98590581982166</v>
      </c>
    </row>
    <row r="956" spans="7:8" x14ac:dyDescent="0.25">
      <c r="G956">
        <v>0.91600000000000004</v>
      </c>
      <c r="H956">
        <f t="shared" si="14"/>
        <v>47.934821990427587</v>
      </c>
    </row>
    <row r="957" spans="7:8" x14ac:dyDescent="0.25">
      <c r="G957">
        <v>0.91700000000000004</v>
      </c>
      <c r="H957">
        <f t="shared" si="14"/>
        <v>47.88384673839257</v>
      </c>
    </row>
    <row r="958" spans="7:8" x14ac:dyDescent="0.25">
      <c r="G958">
        <v>0.91800000000000004</v>
      </c>
      <c r="H958">
        <f t="shared" si="14"/>
        <v>47.832979718152302</v>
      </c>
    </row>
    <row r="959" spans="7:8" x14ac:dyDescent="0.25">
      <c r="G959">
        <v>0.91900000000000004</v>
      </c>
      <c r="H959">
        <f t="shared" si="14"/>
        <v>47.782220585606225</v>
      </c>
    </row>
    <row r="960" spans="7:8" x14ac:dyDescent="0.25">
      <c r="G960">
        <v>0.92</v>
      </c>
      <c r="H960">
        <f t="shared" si="14"/>
        <v>47.731568998109864</v>
      </c>
    </row>
    <row r="961" spans="7:8" x14ac:dyDescent="0.25">
      <c r="G961">
        <v>0.92100000000000004</v>
      </c>
      <c r="H961">
        <f t="shared" si="14"/>
        <v>47.681024614467113</v>
      </c>
    </row>
    <row r="962" spans="7:8" x14ac:dyDescent="0.25">
      <c r="G962">
        <v>0.92200000000000004</v>
      </c>
      <c r="H962">
        <f t="shared" si="14"/>
        <v>47.630587094922582</v>
      </c>
    </row>
    <row r="963" spans="7:8" x14ac:dyDescent="0.25">
      <c r="G963">
        <v>0.92300000000000004</v>
      </c>
      <c r="H963">
        <f t="shared" si="14"/>
        <v>47.580256101154163</v>
      </c>
    </row>
    <row r="964" spans="7:8" x14ac:dyDescent="0.25">
      <c r="G964">
        <v>0.92400000000000004</v>
      </c>
      <c r="H964">
        <f t="shared" si="14"/>
        <v>47.530031296265257</v>
      </c>
    </row>
    <row r="965" spans="7:8" x14ac:dyDescent="0.25">
      <c r="G965">
        <v>0.92500000000000004</v>
      </c>
      <c r="H965">
        <f t="shared" si="14"/>
        <v>47.479912344777389</v>
      </c>
    </row>
    <row r="966" spans="7:8" x14ac:dyDescent="0.25">
      <c r="G966">
        <v>0.92600000000000005</v>
      </c>
      <c r="H966">
        <f t="shared" si="14"/>
        <v>47.429898912622811</v>
      </c>
    </row>
    <row r="967" spans="7:8" x14ac:dyDescent="0.25">
      <c r="G967">
        <v>0.92700000000000005</v>
      </c>
      <c r="H967">
        <f t="shared" si="14"/>
        <v>47.37999066713698</v>
      </c>
    </row>
    <row r="968" spans="7:8" x14ac:dyDescent="0.25">
      <c r="G968">
        <v>0.92800000000000005</v>
      </c>
      <c r="H968">
        <f t="shared" si="14"/>
        <v>47.33018727705133</v>
      </c>
    </row>
    <row r="969" spans="7:8" x14ac:dyDescent="0.25">
      <c r="G969">
        <v>0.92900000000000005</v>
      </c>
      <c r="H969">
        <f t="shared" si="14"/>
        <v>47.280488412485752</v>
      </c>
    </row>
    <row r="970" spans="7:8" x14ac:dyDescent="0.25">
      <c r="G970">
        <v>0.93</v>
      </c>
      <c r="H970">
        <f t="shared" si="14"/>
        <v>47.230893744941788</v>
      </c>
    </row>
    <row r="971" spans="7:8" x14ac:dyDescent="0.25">
      <c r="G971">
        <v>0.93100000000000005</v>
      </c>
      <c r="H971">
        <f t="shared" si="14"/>
        <v>47.181402947294757</v>
      </c>
    </row>
    <row r="972" spans="7:8" x14ac:dyDescent="0.25">
      <c r="G972">
        <v>0.93200000000000005</v>
      </c>
      <c r="H972">
        <f t="shared" si="14"/>
        <v>47.13201569378711</v>
      </c>
    </row>
    <row r="973" spans="7:8" x14ac:dyDescent="0.25">
      <c r="G973">
        <v>0.93300000000000005</v>
      </c>
      <c r="H973">
        <f t="shared" si="14"/>
        <v>47.082731660021125</v>
      </c>
    </row>
    <row r="974" spans="7:8" x14ac:dyDescent="0.25">
      <c r="G974">
        <v>0.93400000000000005</v>
      </c>
      <c r="H974">
        <f t="shared" si="14"/>
        <v>47.033550522951778</v>
      </c>
    </row>
    <row r="975" spans="7:8" x14ac:dyDescent="0.25">
      <c r="G975">
        <v>0.93500000000000005</v>
      </c>
      <c r="H975">
        <f t="shared" si="14"/>
        <v>46.984471960879766</v>
      </c>
    </row>
    <row r="976" spans="7:8" x14ac:dyDescent="0.25">
      <c r="G976">
        <v>0.93600000000000005</v>
      </c>
      <c r="H976">
        <f t="shared" si="14"/>
        <v>46.935495653444505</v>
      </c>
    </row>
    <row r="977" spans="7:8" x14ac:dyDescent="0.25">
      <c r="G977">
        <v>0.93700000000000006</v>
      </c>
      <c r="H977">
        <f t="shared" si="14"/>
        <v>46.886621281617124</v>
      </c>
    </row>
    <row r="978" spans="7:8" x14ac:dyDescent="0.25">
      <c r="G978">
        <v>0.93799999999999994</v>
      </c>
      <c r="H978">
        <f t="shared" si="14"/>
        <v>46.837848527693694</v>
      </c>
    </row>
    <row r="979" spans="7:8" x14ac:dyDescent="0.25">
      <c r="G979">
        <v>0.93899999999999995</v>
      </c>
      <c r="H979">
        <f t="shared" si="14"/>
        <v>46.78917707528813</v>
      </c>
    </row>
    <row r="980" spans="7:8" x14ac:dyDescent="0.25">
      <c r="G980">
        <v>0.94</v>
      </c>
      <c r="H980">
        <f t="shared" si="14"/>
        <v>46.740606609325603</v>
      </c>
    </row>
    <row r="981" spans="7:8" x14ac:dyDescent="0.25">
      <c r="G981">
        <v>0.94099999999999995</v>
      </c>
      <c r="H981">
        <f t="shared" si="14"/>
        <v>46.692136816035685</v>
      </c>
    </row>
    <row r="982" spans="7:8" x14ac:dyDescent="0.25">
      <c r="G982">
        <v>0.94199999999999995</v>
      </c>
      <c r="H982">
        <f t="shared" si="14"/>
        <v>46.643767382945576</v>
      </c>
    </row>
    <row r="983" spans="7:8" x14ac:dyDescent="0.25">
      <c r="G983">
        <v>0.94299999999999995</v>
      </c>
      <c r="H983">
        <f t="shared" si="14"/>
        <v>46.595497998873327</v>
      </c>
    </row>
    <row r="984" spans="7:8" x14ac:dyDescent="0.25">
      <c r="G984">
        <v>0.94399999999999995</v>
      </c>
      <c r="H984">
        <f t="shared" si="14"/>
        <v>46.547328353921408</v>
      </c>
    </row>
    <row r="985" spans="7:8" x14ac:dyDescent="0.25">
      <c r="G985">
        <v>0.94499999999999995</v>
      </c>
      <c r="H985">
        <f t="shared" si="14"/>
        <v>46.499258139469916</v>
      </c>
    </row>
    <row r="986" spans="7:8" x14ac:dyDescent="0.25">
      <c r="G986">
        <v>0.94599999999999995</v>
      </c>
      <c r="H986">
        <f t="shared" si="14"/>
        <v>46.451287048170016</v>
      </c>
    </row>
    <row r="987" spans="7:8" x14ac:dyDescent="0.25">
      <c r="G987">
        <v>0.94699999999999995</v>
      </c>
      <c r="H987">
        <f t="shared" si="14"/>
        <v>46.40341477393747</v>
      </c>
    </row>
    <row r="988" spans="7:8" x14ac:dyDescent="0.25">
      <c r="G988">
        <v>0.94799999999999995</v>
      </c>
      <c r="H988">
        <f t="shared" si="14"/>
        <v>46.355641011946197</v>
      </c>
    </row>
    <row r="989" spans="7:8" x14ac:dyDescent="0.25">
      <c r="G989">
        <v>0.94899999999999995</v>
      </c>
      <c r="H989">
        <f t="shared" si="14"/>
        <v>46.307965458621631</v>
      </c>
    </row>
    <row r="990" spans="7:8" x14ac:dyDescent="0.25">
      <c r="G990">
        <v>0.95</v>
      </c>
      <c r="H990">
        <f t="shared" si="14"/>
        <v>46.26038781163443</v>
      </c>
    </row>
    <row r="991" spans="7:8" x14ac:dyDescent="0.25">
      <c r="G991">
        <v>0.95099999999999996</v>
      </c>
      <c r="H991">
        <f t="shared" si="14"/>
        <v>46.212907769894201</v>
      </c>
    </row>
    <row r="992" spans="7:8" x14ac:dyDescent="0.25">
      <c r="G992">
        <v>0.95199999999999996</v>
      </c>
      <c r="H992">
        <f t="shared" si="14"/>
        <v>46.165525033542913</v>
      </c>
    </row>
    <row r="993" spans="7:8" x14ac:dyDescent="0.25">
      <c r="G993">
        <v>0.95299999999999996</v>
      </c>
      <c r="H993">
        <f t="shared" si="14"/>
        <v>46.118239303948862</v>
      </c>
    </row>
    <row r="994" spans="7:8" x14ac:dyDescent="0.25">
      <c r="G994">
        <v>0.95399999999999996</v>
      </c>
      <c r="H994">
        <f t="shared" si="14"/>
        <v>46.071050283700224</v>
      </c>
    </row>
    <row r="995" spans="7:8" x14ac:dyDescent="0.25">
      <c r="G995">
        <v>0.95499999999999996</v>
      </c>
      <c r="H995">
        <f t="shared" si="14"/>
        <v>46.023957676598869</v>
      </c>
    </row>
    <row r="996" spans="7:8" x14ac:dyDescent="0.25">
      <c r="G996">
        <v>0.95599999999999996</v>
      </c>
      <c r="H996">
        <f t="shared" si="14"/>
        <v>45.976961187654396</v>
      </c>
    </row>
    <row r="997" spans="7:8" x14ac:dyDescent="0.25">
      <c r="G997">
        <v>0.95699999999999996</v>
      </c>
      <c r="H997">
        <f t="shared" si="14"/>
        <v>45.930060523077572</v>
      </c>
    </row>
    <row r="998" spans="7:8" x14ac:dyDescent="0.25">
      <c r="G998">
        <v>0.95799999999999996</v>
      </c>
      <c r="H998">
        <f t="shared" si="14"/>
        <v>45.883255390274726</v>
      </c>
    </row>
    <row r="999" spans="7:8" x14ac:dyDescent="0.25">
      <c r="G999">
        <v>0.95899999999999996</v>
      </c>
      <c r="H999">
        <f t="shared" si="14"/>
        <v>45.836545497841186</v>
      </c>
    </row>
    <row r="1000" spans="7:8" x14ac:dyDescent="0.25">
      <c r="G1000">
        <v>0.96</v>
      </c>
      <c r="H1000">
        <f t="shared" si="14"/>
        <v>45.789930555555642</v>
      </c>
    </row>
    <row r="1001" spans="7:8" x14ac:dyDescent="0.25">
      <c r="G1001">
        <v>0.96099999999999997</v>
      </c>
      <c r="H1001">
        <f t="shared" ref="H1001:H1040" si="15">D(G1001,45)</f>
        <v>45.743410274373929</v>
      </c>
    </row>
    <row r="1002" spans="7:8" x14ac:dyDescent="0.25">
      <c r="G1002">
        <v>0.96199999999999997</v>
      </c>
      <c r="H1002">
        <f t="shared" si="15"/>
        <v>45.696984366423116</v>
      </c>
    </row>
    <row r="1003" spans="7:8" x14ac:dyDescent="0.25">
      <c r="G1003">
        <v>0.96299999999999997</v>
      </c>
      <c r="H1003">
        <f t="shared" si="15"/>
        <v>45.650652544995616</v>
      </c>
    </row>
    <row r="1004" spans="7:8" x14ac:dyDescent="0.25">
      <c r="G1004">
        <v>0.96399999999999997</v>
      </c>
      <c r="H1004">
        <f t="shared" si="15"/>
        <v>45.60441452454338</v>
      </c>
    </row>
    <row r="1005" spans="7:8" x14ac:dyDescent="0.25">
      <c r="G1005">
        <v>0.96499999999999997</v>
      </c>
      <c r="H1005">
        <f t="shared" si="15"/>
        <v>45.55827002067177</v>
      </c>
    </row>
    <row r="1006" spans="7:8" x14ac:dyDescent="0.25">
      <c r="G1006">
        <v>0.96599999999999997</v>
      </c>
      <c r="H1006">
        <f t="shared" si="15"/>
        <v>45.512218750134018</v>
      </c>
    </row>
    <row r="1007" spans="7:8" x14ac:dyDescent="0.25">
      <c r="G1007">
        <v>0.96699999999999997</v>
      </c>
      <c r="H1007">
        <f t="shared" si="15"/>
        <v>45.466260430825365</v>
      </c>
    </row>
    <row r="1008" spans="7:8" x14ac:dyDescent="0.25">
      <c r="G1008">
        <v>0.96799999999999997</v>
      </c>
      <c r="H1008">
        <f t="shared" si="15"/>
        <v>45.420394781777276</v>
      </c>
    </row>
    <row r="1009" spans="7:8" x14ac:dyDescent="0.25">
      <c r="G1009">
        <v>0.96899999999999997</v>
      </c>
      <c r="H1009">
        <f t="shared" si="15"/>
        <v>45.374621523151738</v>
      </c>
    </row>
    <row r="1010" spans="7:8" x14ac:dyDescent="0.25">
      <c r="G1010">
        <v>0.97</v>
      </c>
      <c r="H1010">
        <f t="shared" si="15"/>
        <v>45.328940376235565</v>
      </c>
    </row>
    <row r="1011" spans="7:8" x14ac:dyDescent="0.25">
      <c r="G1011">
        <v>0.97099999999999997</v>
      </c>
      <c r="H1011">
        <f t="shared" si="15"/>
        <v>45.283351063434928</v>
      </c>
    </row>
    <row r="1012" spans="7:8" x14ac:dyDescent="0.25">
      <c r="G1012">
        <v>0.97199999999999998</v>
      </c>
      <c r="H1012">
        <f t="shared" si="15"/>
        <v>45.23785330826945</v>
      </c>
    </row>
    <row r="1013" spans="7:8" x14ac:dyDescent="0.25">
      <c r="G1013">
        <v>0.97299999999999998</v>
      </c>
      <c r="H1013">
        <f t="shared" si="15"/>
        <v>45.19244683536688</v>
      </c>
    </row>
    <row r="1014" spans="7:8" x14ac:dyDescent="0.25">
      <c r="G1014">
        <v>0.97399999999999998</v>
      </c>
      <c r="H1014">
        <f t="shared" si="15"/>
        <v>45.147131370457402</v>
      </c>
    </row>
    <row r="1015" spans="7:8" x14ac:dyDescent="0.25">
      <c r="G1015">
        <v>0.97499999999999998</v>
      </c>
      <c r="H1015">
        <f t="shared" si="15"/>
        <v>45.101906640368234</v>
      </c>
    </row>
    <row r="1016" spans="7:8" x14ac:dyDescent="0.25">
      <c r="G1016">
        <v>0.97599999999999998</v>
      </c>
      <c r="H1016">
        <f t="shared" si="15"/>
        <v>45.056772373018063</v>
      </c>
    </row>
    <row r="1017" spans="7:8" x14ac:dyDescent="0.25">
      <c r="G1017">
        <v>0.97699999999999998</v>
      </c>
      <c r="H1017">
        <f t="shared" si="15"/>
        <v>45.011728297411665</v>
      </c>
    </row>
    <row r="1018" spans="7:8" x14ac:dyDescent="0.25">
      <c r="G1018">
        <v>0.97799999999999998</v>
      </c>
      <c r="H1018">
        <f t="shared" si="15"/>
        <v>44.966774143634431</v>
      </c>
    </row>
    <row r="1019" spans="7:8" x14ac:dyDescent="0.25">
      <c r="G1019">
        <v>0.97899999999999998</v>
      </c>
      <c r="H1019">
        <f t="shared" si="15"/>
        <v>44.921909642847112</v>
      </c>
    </row>
    <row r="1020" spans="7:8" x14ac:dyDescent="0.25">
      <c r="G1020">
        <v>0.98</v>
      </c>
      <c r="H1020">
        <f t="shared" si="15"/>
        <v>44.877134527280347</v>
      </c>
    </row>
    <row r="1021" spans="7:8" x14ac:dyDescent="0.25">
      <c r="G1021">
        <v>0.98099999999999998</v>
      </c>
      <c r="H1021">
        <f t="shared" si="15"/>
        <v>44.832448530229364</v>
      </c>
    </row>
    <row r="1022" spans="7:8" x14ac:dyDescent="0.25">
      <c r="G1022">
        <v>0.98199999999999998</v>
      </c>
      <c r="H1022">
        <f t="shared" si="15"/>
        <v>44.787851386048736</v>
      </c>
    </row>
    <row r="1023" spans="7:8" x14ac:dyDescent="0.25">
      <c r="G1023">
        <v>0.98299999999999998</v>
      </c>
      <c r="H1023">
        <f t="shared" si="15"/>
        <v>44.743342830147114</v>
      </c>
    </row>
    <row r="1024" spans="7:8" x14ac:dyDescent="0.25">
      <c r="G1024">
        <v>0.98399999999999999</v>
      </c>
      <c r="H1024">
        <f t="shared" si="15"/>
        <v>44.698922598982122</v>
      </c>
    </row>
    <row r="1025" spans="7:8" x14ac:dyDescent="0.25">
      <c r="G1025">
        <v>0.98499999999999999</v>
      </c>
      <c r="H1025">
        <f t="shared" si="15"/>
        <v>44.654590430054938</v>
      </c>
    </row>
    <row r="1026" spans="7:8" x14ac:dyDescent="0.25">
      <c r="G1026">
        <v>0.98599999999999999</v>
      </c>
      <c r="H1026">
        <f t="shared" si="15"/>
        <v>44.610346061905268</v>
      </c>
    </row>
    <row r="1027" spans="7:8" x14ac:dyDescent="0.25">
      <c r="G1027">
        <v>0.98699999999999999</v>
      </c>
      <c r="H1027">
        <f t="shared" si="15"/>
        <v>44.566189234106233</v>
      </c>
    </row>
    <row r="1028" spans="7:8" x14ac:dyDescent="0.25">
      <c r="G1028">
        <v>0.98799999999999999</v>
      </c>
      <c r="H1028">
        <f t="shared" si="15"/>
        <v>44.522119687259291</v>
      </c>
    </row>
    <row r="1029" spans="7:8" x14ac:dyDescent="0.25">
      <c r="G1029">
        <v>0.98899999999999999</v>
      </c>
      <c r="H1029">
        <f t="shared" si="15"/>
        <v>44.478137162989071</v>
      </c>
    </row>
    <row r="1030" spans="7:8" x14ac:dyDescent="0.25">
      <c r="G1030">
        <v>0.99</v>
      </c>
      <c r="H1030">
        <f t="shared" si="15"/>
        <v>44.434241403938401</v>
      </c>
    </row>
    <row r="1031" spans="7:8" x14ac:dyDescent="0.25">
      <c r="G1031">
        <v>0.99099999999999999</v>
      </c>
      <c r="H1031">
        <f t="shared" si="15"/>
        <v>44.390432153763328</v>
      </c>
    </row>
    <row r="1032" spans="7:8" x14ac:dyDescent="0.25">
      <c r="G1032">
        <v>0.99199999999999999</v>
      </c>
      <c r="H1032">
        <f t="shared" si="15"/>
        <v>44.346709157128032</v>
      </c>
    </row>
    <row r="1033" spans="7:8" x14ac:dyDescent="0.25">
      <c r="G1033">
        <v>0.99299999999999999</v>
      </c>
      <c r="H1033">
        <f t="shared" si="15"/>
        <v>44.303072159700029</v>
      </c>
    </row>
    <row r="1034" spans="7:8" x14ac:dyDescent="0.25">
      <c r="G1034">
        <v>0.99399999999999999</v>
      </c>
      <c r="H1034">
        <f t="shared" si="15"/>
        <v>44.259520908145078</v>
      </c>
    </row>
    <row r="1035" spans="7:8" x14ac:dyDescent="0.25">
      <c r="G1035">
        <v>0.995</v>
      </c>
      <c r="H1035">
        <f t="shared" si="15"/>
        <v>44.216055150122493</v>
      </c>
    </row>
    <row r="1036" spans="7:8" x14ac:dyDescent="0.25">
      <c r="G1036">
        <v>0.996</v>
      </c>
      <c r="H1036">
        <f t="shared" si="15"/>
        <v>44.172674634280114</v>
      </c>
    </row>
    <row r="1037" spans="7:8" x14ac:dyDescent="0.25">
      <c r="G1037">
        <v>0.997</v>
      </c>
      <c r="H1037">
        <f t="shared" si="15"/>
        <v>44.129379110249523</v>
      </c>
    </row>
    <row r="1038" spans="7:8" x14ac:dyDescent="0.25">
      <c r="G1038">
        <v>0.998</v>
      </c>
      <c r="H1038">
        <f t="shared" si="15"/>
        <v>44.086168328641264</v>
      </c>
    </row>
    <row r="1039" spans="7:8" x14ac:dyDescent="0.25">
      <c r="G1039">
        <v>0.999</v>
      </c>
      <c r="H1039">
        <f t="shared" si="15"/>
        <v>44.043042041040067</v>
      </c>
    </row>
    <row r="1040" spans="7:8" x14ac:dyDescent="0.25">
      <c r="G1040">
        <v>1</v>
      </c>
      <c r="H1040">
        <f t="shared" si="15"/>
        <v>44.000000000000028</v>
      </c>
    </row>
  </sheetData>
  <mergeCells count="1">
    <mergeCell ref="C28:E29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F6C0-7957-496C-B1EE-F0AA8E63C762}">
  <sheetPr codeName="Arkusz2">
    <tabColor rgb="FFFF0000"/>
  </sheetPr>
  <dimension ref="A2:K15"/>
  <sheetViews>
    <sheetView workbookViewId="0">
      <selection activeCell="K15" sqref="K15"/>
    </sheetView>
  </sheetViews>
  <sheetFormatPr defaultColWidth="9.85546875" defaultRowHeight="15" x14ac:dyDescent="0.25"/>
  <cols>
    <col min="1" max="1" width="8.140625" bestFit="1" customWidth="1"/>
    <col min="2" max="2" width="6.140625" bestFit="1" customWidth="1"/>
    <col min="3" max="3" width="11.42578125" bestFit="1" customWidth="1"/>
    <col min="6" max="6" width="6.140625" bestFit="1" customWidth="1"/>
    <col min="7" max="7" width="17" bestFit="1" customWidth="1"/>
    <col min="8" max="8" width="20" bestFit="1" customWidth="1"/>
    <col min="9" max="9" width="19.7109375" bestFit="1" customWidth="1"/>
    <col min="10" max="10" width="12" customWidth="1"/>
    <col min="11" max="11" width="14.42578125" bestFit="1" customWidth="1"/>
  </cols>
  <sheetData>
    <row r="2" spans="1:11" x14ac:dyDescent="0.25">
      <c r="A2" t="s">
        <v>54</v>
      </c>
      <c r="B2">
        <v>10000</v>
      </c>
    </row>
    <row r="3" spans="1:11" x14ac:dyDescent="0.25">
      <c r="A3" t="s">
        <v>55</v>
      </c>
      <c r="B3" s="13">
        <v>0.2</v>
      </c>
      <c r="G3" t="s">
        <v>64</v>
      </c>
    </row>
    <row r="4" spans="1:11" x14ac:dyDescent="0.25">
      <c r="A4" t="s">
        <v>56</v>
      </c>
      <c r="B4">
        <v>12</v>
      </c>
    </row>
    <row r="5" spans="1:11" x14ac:dyDescent="0.25">
      <c r="A5" t="s">
        <v>28</v>
      </c>
      <c r="B5" s="14">
        <f>B3/12</f>
        <v>1.6666666666666666E-2</v>
      </c>
      <c r="F5" t="s">
        <v>58</v>
      </c>
      <c r="G5" t="s">
        <v>59</v>
      </c>
      <c r="H5" t="s">
        <v>60</v>
      </c>
      <c r="I5" t="s">
        <v>61</v>
      </c>
      <c r="J5" t="s">
        <v>62</v>
      </c>
      <c r="K5" t="s">
        <v>63</v>
      </c>
    </row>
    <row r="6" spans="1:11" x14ac:dyDescent="0.25">
      <c r="F6">
        <v>1</v>
      </c>
      <c r="G6" s="2">
        <f>$B$2</f>
        <v>10000</v>
      </c>
      <c r="H6" s="2">
        <f>G6*$B$5</f>
        <v>166.66666666666666</v>
      </c>
      <c r="I6" s="2">
        <f>J6-H6</f>
        <v>927.27173440892204</v>
      </c>
      <c r="J6" s="2">
        <f>$C$8</f>
        <v>1093.9384010755887</v>
      </c>
      <c r="K6" s="2">
        <f>G6-I6</f>
        <v>9072.7282655910785</v>
      </c>
    </row>
    <row r="7" spans="1:11" x14ac:dyDescent="0.25">
      <c r="F7">
        <v>2</v>
      </c>
      <c r="G7" s="2">
        <f>K6</f>
        <v>9072.7282655910785</v>
      </c>
      <c r="H7" s="2">
        <f t="shared" ref="H7:H15" si="0">G7*$B$5</f>
        <v>151.21213775985132</v>
      </c>
      <c r="I7" s="2">
        <f t="shared" ref="I7:I15" si="1">J7-H7</f>
        <v>942.72626331573736</v>
      </c>
      <c r="J7" s="2">
        <f t="shared" ref="J7:J15" si="2">$C$8</f>
        <v>1093.9384010755887</v>
      </c>
      <c r="K7" s="2">
        <f t="shared" ref="K7:K15" si="3">G7-I7</f>
        <v>8130.0020022753415</v>
      </c>
    </row>
    <row r="8" spans="1:11" x14ac:dyDescent="0.25">
      <c r="B8" t="s">
        <v>57</v>
      </c>
      <c r="C8" s="2">
        <f>B2/PV(B5,10,-1,0,0)</f>
        <v>1093.9384010755887</v>
      </c>
      <c r="F8">
        <v>3</v>
      </c>
      <c r="G8" s="2">
        <f t="shared" ref="G8:G15" si="4">K7</f>
        <v>8130.0020022753415</v>
      </c>
      <c r="H8" s="2">
        <f t="shared" si="0"/>
        <v>135.50003337125568</v>
      </c>
      <c r="I8" s="2">
        <f t="shared" si="1"/>
        <v>958.43836770433302</v>
      </c>
      <c r="J8" s="2">
        <f t="shared" si="2"/>
        <v>1093.9384010755887</v>
      </c>
      <c r="K8" s="2">
        <f t="shared" si="3"/>
        <v>7171.5636345710082</v>
      </c>
    </row>
    <row r="9" spans="1:11" x14ac:dyDescent="0.25">
      <c r="C9" s="9">
        <f>PMT(B5,F15,-B2,0,0)</f>
        <v>1093.9384010755862</v>
      </c>
      <c r="F9">
        <v>4</v>
      </c>
      <c r="G9" s="2">
        <f t="shared" si="4"/>
        <v>7171.5636345710082</v>
      </c>
      <c r="H9" s="2">
        <f t="shared" si="0"/>
        <v>119.52606057618347</v>
      </c>
      <c r="I9" s="2">
        <f t="shared" si="1"/>
        <v>974.41234049940522</v>
      </c>
      <c r="J9" s="2">
        <f t="shared" si="2"/>
        <v>1093.9384010755887</v>
      </c>
      <c r="K9" s="2">
        <f t="shared" si="3"/>
        <v>6197.1512940716029</v>
      </c>
    </row>
    <row r="10" spans="1:11" x14ac:dyDescent="0.25">
      <c r="F10">
        <v>5</v>
      </c>
      <c r="G10" s="2">
        <f t="shared" si="4"/>
        <v>6197.1512940716029</v>
      </c>
      <c r="H10" s="2">
        <f t="shared" si="0"/>
        <v>103.28585490119337</v>
      </c>
      <c r="I10" s="2">
        <f t="shared" si="1"/>
        <v>990.6525461743953</v>
      </c>
      <c r="J10" s="2">
        <f t="shared" si="2"/>
        <v>1093.9384010755887</v>
      </c>
      <c r="K10" s="2">
        <f t="shared" si="3"/>
        <v>5206.498747897208</v>
      </c>
    </row>
    <row r="11" spans="1:11" x14ac:dyDescent="0.25">
      <c r="F11">
        <v>6</v>
      </c>
      <c r="G11" s="2">
        <f t="shared" si="4"/>
        <v>5206.498747897208</v>
      </c>
      <c r="H11" s="2">
        <f t="shared" si="0"/>
        <v>86.774979131620128</v>
      </c>
      <c r="I11" s="2">
        <f t="shared" si="1"/>
        <v>1007.1634219439685</v>
      </c>
      <c r="J11" s="2">
        <f t="shared" si="2"/>
        <v>1093.9384010755887</v>
      </c>
      <c r="K11" s="2">
        <f t="shared" si="3"/>
        <v>4199.3353259532396</v>
      </c>
    </row>
    <row r="12" spans="1:11" x14ac:dyDescent="0.25">
      <c r="F12">
        <v>7</v>
      </c>
      <c r="G12" s="2">
        <f t="shared" si="4"/>
        <v>4199.3353259532396</v>
      </c>
      <c r="H12" s="2">
        <f t="shared" si="0"/>
        <v>69.988922099220659</v>
      </c>
      <c r="I12" s="2">
        <f t="shared" si="1"/>
        <v>1023.949478976368</v>
      </c>
      <c r="J12" s="2">
        <f t="shared" si="2"/>
        <v>1093.9384010755887</v>
      </c>
      <c r="K12" s="2">
        <f t="shared" si="3"/>
        <v>3175.3858469768716</v>
      </c>
    </row>
    <row r="13" spans="1:11" x14ac:dyDescent="0.25">
      <c r="F13">
        <v>8</v>
      </c>
      <c r="G13" s="2">
        <f t="shared" si="4"/>
        <v>3175.3858469768716</v>
      </c>
      <c r="H13" s="2">
        <f t="shared" si="0"/>
        <v>52.923097449614524</v>
      </c>
      <c r="I13" s="2">
        <f t="shared" si="1"/>
        <v>1041.0153036259742</v>
      </c>
      <c r="J13" s="2">
        <f t="shared" si="2"/>
        <v>1093.9384010755887</v>
      </c>
      <c r="K13" s="2">
        <f t="shared" si="3"/>
        <v>2134.3705433508976</v>
      </c>
    </row>
    <row r="14" spans="1:11" x14ac:dyDescent="0.25">
      <c r="F14">
        <v>9</v>
      </c>
      <c r="G14" s="2">
        <f t="shared" si="4"/>
        <v>2134.3705433508976</v>
      </c>
      <c r="H14" s="2">
        <f t="shared" si="0"/>
        <v>35.572842389181623</v>
      </c>
      <c r="I14" s="2">
        <f t="shared" si="1"/>
        <v>1058.365558686407</v>
      </c>
      <c r="J14" s="2">
        <f t="shared" si="2"/>
        <v>1093.9384010755887</v>
      </c>
      <c r="K14" s="2">
        <f t="shared" si="3"/>
        <v>1076.0049846644906</v>
      </c>
    </row>
    <row r="15" spans="1:11" x14ac:dyDescent="0.25">
      <c r="F15">
        <v>10</v>
      </c>
      <c r="G15" s="2">
        <f t="shared" si="4"/>
        <v>1076.0049846644906</v>
      </c>
      <c r="H15" s="2">
        <f t="shared" si="0"/>
        <v>17.933416411074845</v>
      </c>
      <c r="I15" s="2">
        <f t="shared" si="1"/>
        <v>1076.0049846645138</v>
      </c>
      <c r="J15" s="2">
        <f t="shared" si="2"/>
        <v>1093.9384010755887</v>
      </c>
      <c r="K15" s="2">
        <f t="shared" si="3"/>
        <v>-2.319211489520967E-11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CA60-F08C-4D1D-A137-B98FC8A7D3E6}">
  <sheetPr codeName="Arkusz5">
    <tabColor rgb="FFFF0000"/>
  </sheetPr>
  <dimension ref="A2:K124"/>
  <sheetViews>
    <sheetView topLeftCell="A55" workbookViewId="0">
      <selection activeCell="C71" sqref="C71"/>
    </sheetView>
  </sheetViews>
  <sheetFormatPr defaultColWidth="9.85546875" defaultRowHeight="15" x14ac:dyDescent="0.25"/>
  <cols>
    <col min="1" max="1" width="25.140625" customWidth="1"/>
    <col min="2" max="2" width="6.140625" bestFit="1" customWidth="1"/>
    <col min="3" max="4" width="13.5703125" bestFit="1" customWidth="1"/>
    <col min="6" max="6" width="6.140625" bestFit="1" customWidth="1"/>
    <col min="7" max="7" width="17" bestFit="1" customWidth="1"/>
    <col min="8" max="8" width="20" bestFit="1" customWidth="1"/>
    <col min="9" max="9" width="19.7109375" bestFit="1" customWidth="1"/>
    <col min="10" max="10" width="12.5703125" customWidth="1"/>
    <col min="11" max="11" width="14.42578125" bestFit="1" customWidth="1"/>
  </cols>
  <sheetData>
    <row r="2" spans="1:11" x14ac:dyDescent="0.25">
      <c r="A2" t="s">
        <v>54</v>
      </c>
      <c r="B2">
        <v>10000</v>
      </c>
    </row>
    <row r="3" spans="1:11" x14ac:dyDescent="0.25">
      <c r="A3" t="s">
        <v>55</v>
      </c>
      <c r="B3" s="13">
        <v>0.2</v>
      </c>
      <c r="G3" t="s">
        <v>64</v>
      </c>
    </row>
    <row r="4" spans="1:11" x14ac:dyDescent="0.25">
      <c r="A4" t="s">
        <v>56</v>
      </c>
      <c r="B4">
        <v>12</v>
      </c>
    </row>
    <row r="5" spans="1:11" x14ac:dyDescent="0.25">
      <c r="A5" t="s">
        <v>28</v>
      </c>
      <c r="B5" s="14">
        <f>B3/12</f>
        <v>1.6666666666666666E-2</v>
      </c>
      <c r="F5" t="s">
        <v>58</v>
      </c>
      <c r="G5" t="s">
        <v>59</v>
      </c>
      <c r="H5" t="s">
        <v>60</v>
      </c>
      <c r="I5" t="s">
        <v>61</v>
      </c>
      <c r="J5" t="s">
        <v>62</v>
      </c>
      <c r="K5" t="s">
        <v>63</v>
      </c>
    </row>
    <row r="6" spans="1:11" x14ac:dyDescent="0.25">
      <c r="F6">
        <v>1</v>
      </c>
      <c r="G6" s="2">
        <f>B2</f>
        <v>10000</v>
      </c>
      <c r="H6" s="2">
        <f>IPMT($B$5,F6,10,-$B$2,0,0)</f>
        <v>166.66666666666666</v>
      </c>
      <c r="I6" s="2">
        <f>-PPMT($B$5,F6,10,$B$2,0,0)</f>
        <v>927.27173440891966</v>
      </c>
      <c r="J6" s="2">
        <f>-PMT($B$5,$F$15,$B$2,0,0)</f>
        <v>1093.9384010755862</v>
      </c>
      <c r="K6" s="2">
        <f>G6-I6</f>
        <v>9072.7282655910803</v>
      </c>
    </row>
    <row r="7" spans="1:11" x14ac:dyDescent="0.25">
      <c r="F7">
        <v>2</v>
      </c>
      <c r="G7" s="2">
        <f>K6</f>
        <v>9072.7282655910803</v>
      </c>
      <c r="H7" s="2">
        <f t="shared" ref="H7:H15" si="0">IPMT($B$5,F7,10,-$B$2,0,0)</f>
        <v>151.21213775985132</v>
      </c>
      <c r="I7" s="2">
        <f t="shared" ref="I7:I15" si="1">-PPMT($B$5,F7,10,$B$2,0,0)</f>
        <v>942.72626331573497</v>
      </c>
      <c r="J7" s="2">
        <f t="shared" ref="J7:J15" si="2">-PMT($B$5,$F$15,$B$2,0,0)</f>
        <v>1093.9384010755862</v>
      </c>
      <c r="K7" s="2">
        <f t="shared" ref="K7:K15" si="3">G7-I7</f>
        <v>8130.0020022753451</v>
      </c>
    </row>
    <row r="8" spans="1:11" x14ac:dyDescent="0.25">
      <c r="B8" t="s">
        <v>57</v>
      </c>
      <c r="C8" s="2">
        <f>B2/PV(B5,10,-1,0,0)</f>
        <v>1093.9384010755887</v>
      </c>
      <c r="F8">
        <v>3</v>
      </c>
      <c r="G8" s="2">
        <f t="shared" ref="G8:G15" si="4">K7</f>
        <v>8130.0020022753451</v>
      </c>
      <c r="H8" s="2">
        <f t="shared" si="0"/>
        <v>135.50003337125574</v>
      </c>
      <c r="I8" s="2">
        <f t="shared" si="1"/>
        <v>958.4383677043304</v>
      </c>
      <c r="J8" s="2">
        <f t="shared" si="2"/>
        <v>1093.9384010755862</v>
      </c>
      <c r="K8" s="2">
        <f t="shared" si="3"/>
        <v>7171.5636345710145</v>
      </c>
    </row>
    <row r="9" spans="1:11" x14ac:dyDescent="0.25">
      <c r="C9" s="9">
        <f>PMT(B5,F15,-B2,0,0)</f>
        <v>1093.9384010755862</v>
      </c>
      <c r="F9">
        <v>4</v>
      </c>
      <c r="G9" s="2">
        <f t="shared" si="4"/>
        <v>7171.5636345710145</v>
      </c>
      <c r="H9" s="2">
        <f t="shared" si="0"/>
        <v>119.52606057618355</v>
      </c>
      <c r="I9" s="2">
        <f t="shared" si="1"/>
        <v>974.41234049940272</v>
      </c>
      <c r="J9" s="2">
        <f t="shared" si="2"/>
        <v>1093.9384010755862</v>
      </c>
      <c r="K9" s="2">
        <f t="shared" si="3"/>
        <v>6197.151294071612</v>
      </c>
    </row>
    <row r="10" spans="1:11" x14ac:dyDescent="0.25">
      <c r="F10">
        <v>5</v>
      </c>
      <c r="G10" s="2">
        <f t="shared" si="4"/>
        <v>6197.151294071612</v>
      </c>
      <c r="H10" s="2">
        <f t="shared" si="0"/>
        <v>103.28585490119352</v>
      </c>
      <c r="I10" s="2">
        <f t="shared" si="1"/>
        <v>990.6525461743928</v>
      </c>
      <c r="J10" s="2">
        <f t="shared" si="2"/>
        <v>1093.9384010755862</v>
      </c>
      <c r="K10" s="2">
        <f t="shared" si="3"/>
        <v>5206.4987478972189</v>
      </c>
    </row>
    <row r="11" spans="1:11" x14ac:dyDescent="0.25">
      <c r="F11">
        <v>6</v>
      </c>
      <c r="G11" s="2">
        <f t="shared" si="4"/>
        <v>5206.4987478972189</v>
      </c>
      <c r="H11" s="2">
        <f t="shared" si="0"/>
        <v>86.774979131620313</v>
      </c>
      <c r="I11" s="2">
        <f t="shared" si="1"/>
        <v>1007.1634219439659</v>
      </c>
      <c r="J11" s="2">
        <f t="shared" si="2"/>
        <v>1093.9384010755862</v>
      </c>
      <c r="K11" s="2">
        <f t="shared" si="3"/>
        <v>4199.3353259532532</v>
      </c>
    </row>
    <row r="12" spans="1:11" x14ac:dyDescent="0.25">
      <c r="F12">
        <v>7</v>
      </c>
      <c r="G12" s="2">
        <f t="shared" si="4"/>
        <v>4199.3353259532532</v>
      </c>
      <c r="H12" s="2">
        <f t="shared" si="0"/>
        <v>69.988922099220872</v>
      </c>
      <c r="I12" s="2">
        <f t="shared" si="1"/>
        <v>1023.9494789763653</v>
      </c>
      <c r="J12" s="2">
        <f t="shared" si="2"/>
        <v>1093.9384010755862</v>
      </c>
      <c r="K12" s="2">
        <f t="shared" si="3"/>
        <v>3175.3858469768879</v>
      </c>
    </row>
    <row r="13" spans="1:11" x14ac:dyDescent="0.25">
      <c r="F13">
        <v>8</v>
      </c>
      <c r="G13" s="2">
        <f t="shared" si="4"/>
        <v>3175.3858469768879</v>
      </c>
      <c r="H13" s="2">
        <f t="shared" si="0"/>
        <v>52.923097449614772</v>
      </c>
      <c r="I13" s="2">
        <f t="shared" si="1"/>
        <v>1041.0153036259715</v>
      </c>
      <c r="J13" s="2">
        <f t="shared" si="2"/>
        <v>1093.9384010755862</v>
      </c>
      <c r="K13" s="2">
        <f t="shared" si="3"/>
        <v>2134.3705433509167</v>
      </c>
    </row>
    <row r="14" spans="1:11" x14ac:dyDescent="0.25">
      <c r="F14">
        <v>9</v>
      </c>
      <c r="G14" s="2">
        <f t="shared" si="4"/>
        <v>2134.3705433509167</v>
      </c>
      <c r="H14" s="2">
        <f t="shared" si="0"/>
        <v>35.572842389181929</v>
      </c>
      <c r="I14" s="2">
        <f t="shared" si="1"/>
        <v>1058.3655586864043</v>
      </c>
      <c r="J14" s="2">
        <f t="shared" si="2"/>
        <v>1093.9384010755862</v>
      </c>
      <c r="K14" s="2">
        <f t="shared" si="3"/>
        <v>1076.0049846645124</v>
      </c>
    </row>
    <row r="15" spans="1:11" x14ac:dyDescent="0.25">
      <c r="F15">
        <v>10</v>
      </c>
      <c r="G15" s="2">
        <f t="shared" si="4"/>
        <v>1076.0049846645124</v>
      </c>
      <c r="H15" s="2">
        <f t="shared" si="0"/>
        <v>17.933416411075186</v>
      </c>
      <c r="I15" s="2">
        <f t="shared" si="1"/>
        <v>1076.0049846645111</v>
      </c>
      <c r="J15" s="2">
        <f t="shared" si="2"/>
        <v>1093.9384010755862</v>
      </c>
      <c r="K15" s="2">
        <f t="shared" si="3"/>
        <v>0</v>
      </c>
    </row>
    <row r="18" spans="1:11" ht="75" x14ac:dyDescent="0.25">
      <c r="A18" s="15" t="s">
        <v>65</v>
      </c>
    </row>
    <row r="19" spans="1:11" x14ac:dyDescent="0.25">
      <c r="A19" s="15"/>
      <c r="C19" t="s">
        <v>66</v>
      </c>
      <c r="D19">
        <v>10000</v>
      </c>
    </row>
    <row r="20" spans="1:11" x14ac:dyDescent="0.25">
      <c r="C20" t="s">
        <v>28</v>
      </c>
      <c r="D20" s="16">
        <f>$H$21/$D$19</f>
        <v>1.6666666666666666E-2</v>
      </c>
      <c r="F20" t="s">
        <v>58</v>
      </c>
      <c r="G20" t="s">
        <v>59</v>
      </c>
      <c r="H20" t="s">
        <v>60</v>
      </c>
      <c r="I20" t="s">
        <v>61</v>
      </c>
      <c r="J20" t="s">
        <v>62</v>
      </c>
      <c r="K20" t="s">
        <v>63</v>
      </c>
    </row>
    <row r="21" spans="1:11" x14ac:dyDescent="0.25">
      <c r="C21" t="s">
        <v>67</v>
      </c>
      <c r="D21" s="2">
        <f>-PMT(D20,10,D19,0,0)</f>
        <v>1093.9384010755862</v>
      </c>
      <c r="F21">
        <v>1</v>
      </c>
      <c r="G21" s="2">
        <f>D19</f>
        <v>10000</v>
      </c>
      <c r="H21" s="2">
        <f>IPMT($B$5,F21,10,-$B$2,0,0)</f>
        <v>166.66666666666666</v>
      </c>
      <c r="I21" s="2">
        <f>J21-H21</f>
        <v>927.27173440891954</v>
      </c>
      <c r="J21" s="2">
        <f>-PMT($B$5,$F$15,$B$2,0,0)</f>
        <v>1093.9384010755862</v>
      </c>
      <c r="K21" s="2">
        <f>G21-I21</f>
        <v>9072.7282655910803</v>
      </c>
    </row>
    <row r="22" spans="1:11" x14ac:dyDescent="0.25">
      <c r="F22">
        <v>2</v>
      </c>
      <c r="G22" s="2">
        <f>K21</f>
        <v>9072.7282655910803</v>
      </c>
      <c r="H22" s="2">
        <f>G22*$D$20</f>
        <v>151.21213775985134</v>
      </c>
      <c r="I22" s="2">
        <f t="shared" ref="I22:I30" si="5">J22-H22</f>
        <v>942.72626331573485</v>
      </c>
      <c r="J22" s="2">
        <f t="shared" ref="J22:J30" si="6">-PMT($B$5,$F$15,$B$2,0,0)</f>
        <v>1093.9384010755862</v>
      </c>
      <c r="K22" s="2">
        <f t="shared" ref="K22:K30" si="7">G22-I22</f>
        <v>8130.0020022753451</v>
      </c>
    </row>
    <row r="23" spans="1:11" x14ac:dyDescent="0.25">
      <c r="F23">
        <v>3</v>
      </c>
      <c r="G23" s="2">
        <f t="shared" ref="G23:G30" si="8">K22</f>
        <v>8130.0020022753451</v>
      </c>
      <c r="H23" s="2">
        <f t="shared" ref="H23:H30" si="9">G23*$D$20</f>
        <v>135.50003337125574</v>
      </c>
      <c r="I23" s="2">
        <f t="shared" si="5"/>
        <v>958.4383677043304</v>
      </c>
      <c r="J23" s="2">
        <f t="shared" si="6"/>
        <v>1093.9384010755862</v>
      </c>
      <c r="K23" s="2">
        <f t="shared" si="7"/>
        <v>7171.5636345710145</v>
      </c>
    </row>
    <row r="24" spans="1:11" x14ac:dyDescent="0.25">
      <c r="F24">
        <v>4</v>
      </c>
      <c r="G24" s="2">
        <f t="shared" si="8"/>
        <v>7171.5636345710145</v>
      </c>
      <c r="H24" s="2">
        <f t="shared" si="9"/>
        <v>119.52606057618357</v>
      </c>
      <c r="I24" s="2">
        <f t="shared" si="5"/>
        <v>974.4123404994026</v>
      </c>
      <c r="J24" s="2">
        <f t="shared" si="6"/>
        <v>1093.9384010755862</v>
      </c>
      <c r="K24" s="2">
        <f t="shared" si="7"/>
        <v>6197.151294071612</v>
      </c>
    </row>
    <row r="25" spans="1:11" x14ac:dyDescent="0.25">
      <c r="F25">
        <v>5</v>
      </c>
      <c r="G25" s="2">
        <f t="shared" si="8"/>
        <v>6197.151294071612</v>
      </c>
      <c r="H25" s="2">
        <f t="shared" si="9"/>
        <v>103.28585490119353</v>
      </c>
      <c r="I25" s="2">
        <f t="shared" si="5"/>
        <v>990.65254617439268</v>
      </c>
      <c r="J25" s="2">
        <f t="shared" si="6"/>
        <v>1093.9384010755862</v>
      </c>
      <c r="K25" s="2">
        <f t="shared" si="7"/>
        <v>5206.4987478972198</v>
      </c>
    </row>
    <row r="26" spans="1:11" x14ac:dyDescent="0.25">
      <c r="F26">
        <v>6</v>
      </c>
      <c r="G26" s="2">
        <f t="shared" si="8"/>
        <v>5206.4987478972198</v>
      </c>
      <c r="H26" s="2">
        <f t="shared" si="9"/>
        <v>86.774979131620327</v>
      </c>
      <c r="I26" s="2">
        <f t="shared" si="5"/>
        <v>1007.1634219439659</v>
      </c>
      <c r="J26" s="2">
        <f t="shared" si="6"/>
        <v>1093.9384010755862</v>
      </c>
      <c r="K26" s="2">
        <f t="shared" si="7"/>
        <v>4199.3353259532541</v>
      </c>
    </row>
    <row r="27" spans="1:11" x14ac:dyDescent="0.25">
      <c r="F27">
        <v>7</v>
      </c>
      <c r="G27" s="2">
        <f t="shared" si="8"/>
        <v>4199.3353259532541</v>
      </c>
      <c r="H27" s="2">
        <f t="shared" si="9"/>
        <v>69.9889220992209</v>
      </c>
      <c r="I27" s="2">
        <f t="shared" si="5"/>
        <v>1023.9494789763653</v>
      </c>
      <c r="J27" s="2">
        <f t="shared" si="6"/>
        <v>1093.9384010755862</v>
      </c>
      <c r="K27" s="2">
        <f t="shared" si="7"/>
        <v>3175.3858469768888</v>
      </c>
    </row>
    <row r="28" spans="1:11" x14ac:dyDescent="0.25">
      <c r="F28">
        <v>8</v>
      </c>
      <c r="G28" s="2">
        <f t="shared" si="8"/>
        <v>3175.3858469768888</v>
      </c>
      <c r="H28" s="2">
        <f t="shared" si="9"/>
        <v>52.923097449614815</v>
      </c>
      <c r="I28" s="2">
        <f t="shared" si="5"/>
        <v>1041.0153036259715</v>
      </c>
      <c r="J28" s="2">
        <f t="shared" si="6"/>
        <v>1093.9384010755862</v>
      </c>
      <c r="K28" s="2">
        <f t="shared" si="7"/>
        <v>2134.3705433509176</v>
      </c>
    </row>
    <row r="29" spans="1:11" x14ac:dyDescent="0.25">
      <c r="F29">
        <v>9</v>
      </c>
      <c r="G29" s="2">
        <f t="shared" si="8"/>
        <v>2134.3705433509176</v>
      </c>
      <c r="H29" s="2">
        <f t="shared" si="9"/>
        <v>35.572842389181957</v>
      </c>
      <c r="I29" s="2">
        <f t="shared" si="5"/>
        <v>1058.3655586864043</v>
      </c>
      <c r="J29" s="2">
        <f t="shared" si="6"/>
        <v>1093.9384010755862</v>
      </c>
      <c r="K29" s="2">
        <f t="shared" si="7"/>
        <v>1076.0049846645134</v>
      </c>
    </row>
    <row r="30" spans="1:11" x14ac:dyDescent="0.25">
      <c r="F30">
        <v>10</v>
      </c>
      <c r="G30" s="2">
        <f t="shared" si="8"/>
        <v>1076.0049846645134</v>
      </c>
      <c r="H30" s="2">
        <f t="shared" si="9"/>
        <v>17.933416411075221</v>
      </c>
      <c r="I30" s="2">
        <f t="shared" si="5"/>
        <v>1076.0049846645109</v>
      </c>
      <c r="J30" s="2">
        <f t="shared" si="6"/>
        <v>1093.9384010755862</v>
      </c>
      <c r="K30" s="2">
        <f t="shared" si="7"/>
        <v>2.5011104298755527E-12</v>
      </c>
    </row>
    <row r="36" spans="1:11" x14ac:dyDescent="0.25">
      <c r="C36" t="s">
        <v>28</v>
      </c>
      <c r="D36" s="3">
        <f>(J37/(J37-H37))^(1/5)-1</f>
        <v>9.9999629465679085E-3</v>
      </c>
      <c r="F36" s="17" t="s">
        <v>58</v>
      </c>
      <c r="G36" s="17" t="s">
        <v>59</v>
      </c>
      <c r="H36" s="17" t="s">
        <v>68</v>
      </c>
      <c r="I36" s="17" t="s">
        <v>61</v>
      </c>
      <c r="J36" s="17" t="s">
        <v>62</v>
      </c>
      <c r="K36" s="17" t="s">
        <v>63</v>
      </c>
    </row>
    <row r="37" spans="1:11" x14ac:dyDescent="0.25">
      <c r="F37" s="18">
        <v>1</v>
      </c>
      <c r="G37" s="19">
        <f>H37/D36</f>
        <v>740.00274196413523</v>
      </c>
      <c r="H37" s="20">
        <f>J37-I37</f>
        <v>7.4000000000000057</v>
      </c>
      <c r="I37" s="20">
        <v>145.07</v>
      </c>
      <c r="J37" s="19">
        <f t="shared" ref="J37:J41" si="10">$H$39+$I$39</f>
        <v>152.47</v>
      </c>
      <c r="K37" s="19">
        <f>G37-I37</f>
        <v>594.93274196413518</v>
      </c>
    </row>
    <row r="38" spans="1:11" x14ac:dyDescent="0.25">
      <c r="F38" s="18">
        <v>2</v>
      </c>
      <c r="G38" s="19">
        <f>K37</f>
        <v>594.93274196413518</v>
      </c>
      <c r="H38" s="20">
        <f>G38*D36</f>
        <v>5.9493053753413987</v>
      </c>
      <c r="I38" s="20">
        <f>J38-H38</f>
        <v>146.5206946246586</v>
      </c>
      <c r="J38" s="19">
        <f t="shared" si="10"/>
        <v>152.47</v>
      </c>
      <c r="K38" s="19">
        <f t="shared" ref="K38:K41" si="11">G38-I38</f>
        <v>448.41204733947654</v>
      </c>
    </row>
    <row r="39" spans="1:11" x14ac:dyDescent="0.25">
      <c r="F39" s="18">
        <v>3</v>
      </c>
      <c r="G39" s="19">
        <f t="shared" ref="G39:G41" si="12">K38</f>
        <v>448.41204733947654</v>
      </c>
      <c r="H39" s="20">
        <v>4.4800000000000004</v>
      </c>
      <c r="I39" s="20">
        <v>147.99</v>
      </c>
      <c r="J39" s="19">
        <f>$H$39+$I$39</f>
        <v>152.47</v>
      </c>
      <c r="K39" s="19">
        <f t="shared" si="11"/>
        <v>300.42204733947653</v>
      </c>
    </row>
    <row r="40" spans="1:11" x14ac:dyDescent="0.25">
      <c r="F40" s="18">
        <v>4</v>
      </c>
      <c r="G40" s="19">
        <f t="shared" si="12"/>
        <v>300.42204733947653</v>
      </c>
      <c r="H40" s="20">
        <f>G40*$D$36</f>
        <v>3.0042093417268356</v>
      </c>
      <c r="I40" s="20">
        <f>J40-H40</f>
        <v>149.46579065827316</v>
      </c>
      <c r="J40" s="19">
        <f t="shared" si="10"/>
        <v>152.47</v>
      </c>
      <c r="K40" s="19">
        <f t="shared" si="11"/>
        <v>150.95625668120337</v>
      </c>
    </row>
    <row r="41" spans="1:11" x14ac:dyDescent="0.25">
      <c r="F41" s="18">
        <v>5</v>
      </c>
      <c r="G41" s="19">
        <f t="shared" si="12"/>
        <v>150.95625668120337</v>
      </c>
      <c r="H41" s="20">
        <f>G41*$D$36</f>
        <v>1.5095569733646279</v>
      </c>
      <c r="I41" s="20">
        <f>J41-H41</f>
        <v>150.96044302663537</v>
      </c>
      <c r="J41" s="19">
        <f t="shared" si="10"/>
        <v>152.47</v>
      </c>
      <c r="K41" s="19">
        <f t="shared" si="11"/>
        <v>-4.1863454320036908E-3</v>
      </c>
    </row>
    <row r="45" spans="1:11" x14ac:dyDescent="0.25">
      <c r="A45" s="23" t="s">
        <v>69</v>
      </c>
    </row>
    <row r="46" spans="1:11" x14ac:dyDescent="0.25">
      <c r="C46" t="s">
        <v>54</v>
      </c>
      <c r="D46">
        <v>50000</v>
      </c>
      <c r="F46" s="17" t="s">
        <v>58</v>
      </c>
      <c r="G46" s="17" t="s">
        <v>59</v>
      </c>
      <c r="H46" s="17" t="s">
        <v>68</v>
      </c>
      <c r="I46" s="17" t="s">
        <v>61</v>
      </c>
      <c r="J46" s="17" t="s">
        <v>62</v>
      </c>
      <c r="K46" s="17" t="s">
        <v>63</v>
      </c>
    </row>
    <row r="47" spans="1:11" x14ac:dyDescent="0.25">
      <c r="C47" t="s">
        <v>28</v>
      </c>
      <c r="D47" s="1">
        <v>0.11</v>
      </c>
      <c r="F47" s="18">
        <v>1</v>
      </c>
      <c r="G47" s="21">
        <f>D46</f>
        <v>50000</v>
      </c>
      <c r="H47" s="22">
        <f>G47*$D$47</f>
        <v>5500</v>
      </c>
      <c r="I47" s="22">
        <v>0</v>
      </c>
      <c r="J47" s="21">
        <f>H47+I47</f>
        <v>5500</v>
      </c>
      <c r="K47" s="21">
        <f>G47-I47</f>
        <v>50000</v>
      </c>
    </row>
    <row r="48" spans="1:11" x14ac:dyDescent="0.25">
      <c r="F48" s="18">
        <v>2</v>
      </c>
      <c r="G48" s="21">
        <f>K47</f>
        <v>50000</v>
      </c>
      <c r="H48" s="22">
        <f t="shared" ref="H48:H56" si="13">G48*$D$47</f>
        <v>5500</v>
      </c>
      <c r="I48" s="22">
        <v>0</v>
      </c>
      <c r="J48" s="21">
        <f t="shared" ref="J48:J56" si="14">H48+I48</f>
        <v>5500</v>
      </c>
      <c r="K48" s="21">
        <f t="shared" ref="K48:K56" si="15">G48-I48</f>
        <v>50000</v>
      </c>
    </row>
    <row r="49" spans="1:11" x14ac:dyDescent="0.25">
      <c r="F49" s="18">
        <v>3</v>
      </c>
      <c r="G49" s="21">
        <f t="shared" ref="G49:G56" si="16">K48</f>
        <v>50000</v>
      </c>
      <c r="H49" s="22">
        <f t="shared" si="13"/>
        <v>5500</v>
      </c>
      <c r="I49" s="22">
        <v>0</v>
      </c>
      <c r="J49" s="21">
        <f t="shared" si="14"/>
        <v>5500</v>
      </c>
      <c r="K49" s="21">
        <f t="shared" si="15"/>
        <v>50000</v>
      </c>
    </row>
    <row r="50" spans="1:11" x14ac:dyDescent="0.25">
      <c r="F50" s="18">
        <v>4</v>
      </c>
      <c r="G50" s="21">
        <f t="shared" si="16"/>
        <v>50000</v>
      </c>
      <c r="H50" s="22">
        <f t="shared" si="13"/>
        <v>5500</v>
      </c>
      <c r="I50" s="22">
        <v>0</v>
      </c>
      <c r="J50" s="21">
        <f t="shared" si="14"/>
        <v>5500</v>
      </c>
      <c r="K50" s="21">
        <f t="shared" si="15"/>
        <v>50000</v>
      </c>
    </row>
    <row r="51" spans="1:11" x14ac:dyDescent="0.25">
      <c r="F51" s="18">
        <v>5</v>
      </c>
      <c r="G51" s="21">
        <f t="shared" si="16"/>
        <v>50000</v>
      </c>
      <c r="H51" s="22">
        <f t="shared" si="13"/>
        <v>5500</v>
      </c>
      <c r="I51" s="22">
        <v>0</v>
      </c>
      <c r="J51" s="21">
        <f t="shared" si="14"/>
        <v>5500</v>
      </c>
      <c r="K51" s="21">
        <f t="shared" si="15"/>
        <v>50000</v>
      </c>
    </row>
    <row r="52" spans="1:11" x14ac:dyDescent="0.25">
      <c r="F52" s="18">
        <v>6</v>
      </c>
      <c r="G52" s="21">
        <f t="shared" si="16"/>
        <v>50000</v>
      </c>
      <c r="H52" s="22">
        <f t="shared" si="13"/>
        <v>5500</v>
      </c>
      <c r="I52" s="22">
        <v>0</v>
      </c>
      <c r="J52" s="21">
        <f t="shared" si="14"/>
        <v>5500</v>
      </c>
      <c r="K52" s="21">
        <f t="shared" si="15"/>
        <v>50000</v>
      </c>
    </row>
    <row r="53" spans="1:11" x14ac:dyDescent="0.25">
      <c r="F53" s="18">
        <v>7</v>
      </c>
      <c r="G53" s="21">
        <f t="shared" si="16"/>
        <v>50000</v>
      </c>
      <c r="H53" s="22">
        <f t="shared" si="13"/>
        <v>5500</v>
      </c>
      <c r="I53" s="22">
        <v>0</v>
      </c>
      <c r="J53" s="21">
        <f t="shared" si="14"/>
        <v>5500</v>
      </c>
      <c r="K53" s="21">
        <f t="shared" si="15"/>
        <v>50000</v>
      </c>
    </row>
    <row r="54" spans="1:11" x14ac:dyDescent="0.25">
      <c r="F54" s="18">
        <v>8</v>
      </c>
      <c r="G54" s="21">
        <f t="shared" si="16"/>
        <v>50000</v>
      </c>
      <c r="H54" s="22">
        <f t="shared" si="13"/>
        <v>5500</v>
      </c>
      <c r="I54" s="22">
        <v>0</v>
      </c>
      <c r="J54" s="21">
        <f t="shared" si="14"/>
        <v>5500</v>
      </c>
      <c r="K54" s="21">
        <f t="shared" si="15"/>
        <v>50000</v>
      </c>
    </row>
    <row r="55" spans="1:11" x14ac:dyDescent="0.25">
      <c r="F55" s="18">
        <v>9</v>
      </c>
      <c r="G55" s="21">
        <f t="shared" si="16"/>
        <v>50000</v>
      </c>
      <c r="H55" s="22">
        <f t="shared" si="13"/>
        <v>5500</v>
      </c>
      <c r="I55" s="22">
        <v>0</v>
      </c>
      <c r="J55" s="21">
        <f t="shared" si="14"/>
        <v>5500</v>
      </c>
      <c r="K55" s="21">
        <f t="shared" si="15"/>
        <v>50000</v>
      </c>
    </row>
    <row r="56" spans="1:11" x14ac:dyDescent="0.25">
      <c r="F56" s="18">
        <v>10</v>
      </c>
      <c r="G56" s="21">
        <f t="shared" si="16"/>
        <v>50000</v>
      </c>
      <c r="H56" s="22">
        <f t="shared" si="13"/>
        <v>5500</v>
      </c>
      <c r="I56" s="22">
        <f>G56</f>
        <v>50000</v>
      </c>
      <c r="J56" s="21">
        <f t="shared" si="14"/>
        <v>55500</v>
      </c>
      <c r="K56" s="21">
        <f t="shared" si="15"/>
        <v>0</v>
      </c>
    </row>
    <row r="60" spans="1:11" x14ac:dyDescent="0.25">
      <c r="A60" s="23" t="s">
        <v>70</v>
      </c>
    </row>
    <row r="64" spans="1:11" x14ac:dyDescent="0.25">
      <c r="C64" s="17" t="s">
        <v>54</v>
      </c>
      <c r="D64" s="20">
        <v>250000</v>
      </c>
      <c r="F64" s="17" t="s">
        <v>58</v>
      </c>
      <c r="G64" s="17" t="s">
        <v>59</v>
      </c>
      <c r="H64" s="17" t="s">
        <v>68</v>
      </c>
      <c r="I64" s="17" t="s">
        <v>61</v>
      </c>
      <c r="J64" s="17" t="s">
        <v>62</v>
      </c>
      <c r="K64" s="17" t="s">
        <v>63</v>
      </c>
    </row>
    <row r="65" spans="1:11" x14ac:dyDescent="0.25">
      <c r="C65" s="17" t="s">
        <v>28</v>
      </c>
      <c r="D65" s="24">
        <v>0.03</v>
      </c>
      <c r="F65" s="18">
        <v>1</v>
      </c>
      <c r="G65" s="19">
        <f>D64</f>
        <v>250000</v>
      </c>
      <c r="H65" s="20">
        <f>G65*$D$65</f>
        <v>7500</v>
      </c>
      <c r="I65" s="20">
        <f>$D$64/60</f>
        <v>4166.666666666667</v>
      </c>
      <c r="J65" s="19">
        <f>H65+I65</f>
        <v>11666.666666666668</v>
      </c>
      <c r="K65" s="19">
        <f>G65-I65</f>
        <v>245833.33333333334</v>
      </c>
    </row>
    <row r="66" spans="1:11" x14ac:dyDescent="0.25">
      <c r="C66" t="s">
        <v>71</v>
      </c>
      <c r="D66" s="2">
        <f>SUM(H65:H124)</f>
        <v>228750</v>
      </c>
      <c r="F66" s="18">
        <v>2</v>
      </c>
      <c r="G66" s="19">
        <f>K65</f>
        <v>245833.33333333334</v>
      </c>
      <c r="H66" s="20">
        <f t="shared" ref="H66:H124" si="17">G66*$D$65</f>
        <v>7375</v>
      </c>
      <c r="I66" s="20">
        <f t="shared" ref="I66:I124" si="18">$D$64/60</f>
        <v>4166.666666666667</v>
      </c>
      <c r="J66" s="19">
        <f t="shared" ref="J66:J124" si="19">H66+I66</f>
        <v>11541.666666666668</v>
      </c>
      <c r="K66" s="19">
        <f t="shared" ref="K66:K124" si="20">G66-I66</f>
        <v>241666.66666666669</v>
      </c>
    </row>
    <row r="67" spans="1:11" x14ac:dyDescent="0.25">
      <c r="F67" s="18">
        <v>3</v>
      </c>
      <c r="G67" s="19">
        <f t="shared" ref="G67:G124" si="21">K66</f>
        <v>241666.66666666669</v>
      </c>
      <c r="H67" s="20">
        <f t="shared" si="17"/>
        <v>7250</v>
      </c>
      <c r="I67" s="20">
        <f t="shared" si="18"/>
        <v>4166.666666666667</v>
      </c>
      <c r="J67" s="19">
        <f t="shared" si="19"/>
        <v>11416.666666666668</v>
      </c>
      <c r="K67" s="19">
        <f t="shared" si="20"/>
        <v>237500.00000000003</v>
      </c>
    </row>
    <row r="68" spans="1:11" x14ac:dyDescent="0.25">
      <c r="F68" s="18">
        <v>4</v>
      </c>
      <c r="G68" s="19">
        <f t="shared" si="21"/>
        <v>237500.00000000003</v>
      </c>
      <c r="H68" s="20">
        <f t="shared" si="17"/>
        <v>7125.0000000000009</v>
      </c>
      <c r="I68" s="20">
        <f t="shared" si="18"/>
        <v>4166.666666666667</v>
      </c>
      <c r="J68" s="19">
        <f t="shared" si="19"/>
        <v>11291.666666666668</v>
      </c>
      <c r="K68" s="19">
        <f t="shared" si="20"/>
        <v>233333.33333333337</v>
      </c>
    </row>
    <row r="69" spans="1:11" x14ac:dyDescent="0.25">
      <c r="A69" t="s">
        <v>73</v>
      </c>
      <c r="C69" s="2">
        <f>-PMT(D65,60,D64,0,0)</f>
        <v>9033.2396845109779</v>
      </c>
      <c r="F69" s="18">
        <v>5</v>
      </c>
      <c r="G69" s="19">
        <f t="shared" si="21"/>
        <v>233333.33333333337</v>
      </c>
      <c r="H69" s="20">
        <f t="shared" si="17"/>
        <v>7000.0000000000009</v>
      </c>
      <c r="I69" s="20">
        <f t="shared" si="18"/>
        <v>4166.666666666667</v>
      </c>
      <c r="J69" s="19">
        <f t="shared" si="19"/>
        <v>11166.666666666668</v>
      </c>
      <c r="K69" s="19">
        <f t="shared" si="20"/>
        <v>229166.66666666672</v>
      </c>
    </row>
    <row r="70" spans="1:11" x14ac:dyDescent="0.25">
      <c r="A70" t="s">
        <v>72</v>
      </c>
      <c r="C70" s="2">
        <f>60*C69-D64</f>
        <v>291994.38107065868</v>
      </c>
      <c r="F70" s="18">
        <v>6</v>
      </c>
      <c r="G70" s="19">
        <f t="shared" si="21"/>
        <v>229166.66666666672</v>
      </c>
      <c r="H70" s="20">
        <f t="shared" si="17"/>
        <v>6875.0000000000009</v>
      </c>
      <c r="I70" s="20">
        <f t="shared" si="18"/>
        <v>4166.666666666667</v>
      </c>
      <c r="J70" s="19">
        <f t="shared" si="19"/>
        <v>11041.666666666668</v>
      </c>
      <c r="K70" s="19">
        <f t="shared" si="20"/>
        <v>225000.00000000006</v>
      </c>
    </row>
    <row r="71" spans="1:11" x14ac:dyDescent="0.25">
      <c r="F71" s="18">
        <v>7</v>
      </c>
      <c r="G71" s="19">
        <f t="shared" si="21"/>
        <v>225000.00000000006</v>
      </c>
      <c r="H71" s="20">
        <f t="shared" si="17"/>
        <v>6750.0000000000018</v>
      </c>
      <c r="I71" s="20">
        <f t="shared" si="18"/>
        <v>4166.666666666667</v>
      </c>
      <c r="J71" s="19">
        <f t="shared" si="19"/>
        <v>10916.666666666668</v>
      </c>
      <c r="K71" s="19">
        <f t="shared" si="20"/>
        <v>220833.3333333334</v>
      </c>
    </row>
    <row r="72" spans="1:11" x14ac:dyDescent="0.25">
      <c r="F72" s="18">
        <v>8</v>
      </c>
      <c r="G72" s="19">
        <f t="shared" si="21"/>
        <v>220833.3333333334</v>
      </c>
      <c r="H72" s="20">
        <f t="shared" si="17"/>
        <v>6625.0000000000018</v>
      </c>
      <c r="I72" s="20">
        <f t="shared" si="18"/>
        <v>4166.666666666667</v>
      </c>
      <c r="J72" s="19">
        <f t="shared" si="19"/>
        <v>10791.666666666668</v>
      </c>
      <c r="K72" s="19">
        <f t="shared" si="20"/>
        <v>216666.66666666674</v>
      </c>
    </row>
    <row r="73" spans="1:11" x14ac:dyDescent="0.25">
      <c r="F73" s="18">
        <v>9</v>
      </c>
      <c r="G73" s="19">
        <f t="shared" si="21"/>
        <v>216666.66666666674</v>
      </c>
      <c r="H73" s="20">
        <f t="shared" si="17"/>
        <v>6500.0000000000018</v>
      </c>
      <c r="I73" s="20">
        <f t="shared" si="18"/>
        <v>4166.666666666667</v>
      </c>
      <c r="J73" s="19">
        <f t="shared" si="19"/>
        <v>10666.666666666668</v>
      </c>
      <c r="K73" s="19">
        <f t="shared" si="20"/>
        <v>212500.00000000009</v>
      </c>
    </row>
    <row r="74" spans="1:11" x14ac:dyDescent="0.25">
      <c r="F74" s="18">
        <v>10</v>
      </c>
      <c r="G74" s="19">
        <f t="shared" si="21"/>
        <v>212500.00000000009</v>
      </c>
      <c r="H74" s="20">
        <f t="shared" si="17"/>
        <v>6375.0000000000027</v>
      </c>
      <c r="I74" s="20">
        <f t="shared" si="18"/>
        <v>4166.666666666667</v>
      </c>
      <c r="J74" s="19">
        <f t="shared" si="19"/>
        <v>10541.66666666667</v>
      </c>
      <c r="K74" s="19">
        <f t="shared" si="20"/>
        <v>208333.33333333343</v>
      </c>
    </row>
    <row r="75" spans="1:11" x14ac:dyDescent="0.25">
      <c r="F75" s="18">
        <v>11</v>
      </c>
      <c r="G75" s="19">
        <f t="shared" si="21"/>
        <v>208333.33333333343</v>
      </c>
      <c r="H75" s="20">
        <f t="shared" si="17"/>
        <v>6250.0000000000027</v>
      </c>
      <c r="I75" s="20">
        <f t="shared" si="18"/>
        <v>4166.666666666667</v>
      </c>
      <c r="J75" s="19">
        <f t="shared" si="19"/>
        <v>10416.66666666667</v>
      </c>
      <c r="K75" s="19">
        <f t="shared" si="20"/>
        <v>204166.66666666677</v>
      </c>
    </row>
    <row r="76" spans="1:11" x14ac:dyDescent="0.25">
      <c r="F76" s="18">
        <v>12</v>
      </c>
      <c r="G76" s="19">
        <f t="shared" si="21"/>
        <v>204166.66666666677</v>
      </c>
      <c r="H76" s="20">
        <f t="shared" si="17"/>
        <v>6125.0000000000027</v>
      </c>
      <c r="I76" s="20">
        <f t="shared" si="18"/>
        <v>4166.666666666667</v>
      </c>
      <c r="J76" s="19">
        <f t="shared" si="19"/>
        <v>10291.66666666667</v>
      </c>
      <c r="K76" s="19">
        <f t="shared" si="20"/>
        <v>200000.00000000012</v>
      </c>
    </row>
    <row r="77" spans="1:11" x14ac:dyDescent="0.25">
      <c r="F77" s="18">
        <v>13</v>
      </c>
      <c r="G77" s="19">
        <f t="shared" si="21"/>
        <v>200000.00000000012</v>
      </c>
      <c r="H77" s="20">
        <f t="shared" si="17"/>
        <v>6000.0000000000036</v>
      </c>
      <c r="I77" s="20">
        <f t="shared" si="18"/>
        <v>4166.666666666667</v>
      </c>
      <c r="J77" s="19">
        <f t="shared" si="19"/>
        <v>10166.666666666672</v>
      </c>
      <c r="K77" s="19">
        <f t="shared" si="20"/>
        <v>195833.33333333346</v>
      </c>
    </row>
    <row r="78" spans="1:11" x14ac:dyDescent="0.25">
      <c r="F78" s="18">
        <v>14</v>
      </c>
      <c r="G78" s="19">
        <f t="shared" si="21"/>
        <v>195833.33333333346</v>
      </c>
      <c r="H78" s="20">
        <f t="shared" si="17"/>
        <v>5875.0000000000036</v>
      </c>
      <c r="I78" s="20">
        <f t="shared" si="18"/>
        <v>4166.666666666667</v>
      </c>
      <c r="J78" s="19">
        <f t="shared" si="19"/>
        <v>10041.666666666672</v>
      </c>
      <c r="K78" s="19">
        <f t="shared" si="20"/>
        <v>191666.6666666668</v>
      </c>
    </row>
    <row r="79" spans="1:11" x14ac:dyDescent="0.25">
      <c r="F79" s="18">
        <v>15</v>
      </c>
      <c r="G79" s="19">
        <f t="shared" si="21"/>
        <v>191666.6666666668</v>
      </c>
      <c r="H79" s="20">
        <f t="shared" si="17"/>
        <v>5750.0000000000036</v>
      </c>
      <c r="I79" s="20">
        <f t="shared" si="18"/>
        <v>4166.666666666667</v>
      </c>
      <c r="J79" s="19">
        <f t="shared" si="19"/>
        <v>9916.6666666666715</v>
      </c>
      <c r="K79" s="19">
        <f t="shared" si="20"/>
        <v>187500.00000000015</v>
      </c>
    </row>
    <row r="80" spans="1:11" x14ac:dyDescent="0.25">
      <c r="F80" s="18">
        <v>16</v>
      </c>
      <c r="G80" s="19">
        <f t="shared" si="21"/>
        <v>187500.00000000015</v>
      </c>
      <c r="H80" s="20">
        <f t="shared" si="17"/>
        <v>5625.0000000000045</v>
      </c>
      <c r="I80" s="20">
        <f t="shared" si="18"/>
        <v>4166.666666666667</v>
      </c>
      <c r="J80" s="19">
        <f t="shared" si="19"/>
        <v>9791.6666666666715</v>
      </c>
      <c r="K80" s="19">
        <f t="shared" si="20"/>
        <v>183333.33333333349</v>
      </c>
    </row>
    <row r="81" spans="6:11" x14ac:dyDescent="0.25">
      <c r="F81" s="18">
        <v>17</v>
      </c>
      <c r="G81" s="19">
        <f t="shared" si="21"/>
        <v>183333.33333333349</v>
      </c>
      <c r="H81" s="20">
        <f t="shared" si="17"/>
        <v>5500.0000000000045</v>
      </c>
      <c r="I81" s="20">
        <f t="shared" si="18"/>
        <v>4166.666666666667</v>
      </c>
      <c r="J81" s="19">
        <f t="shared" si="19"/>
        <v>9666.6666666666715</v>
      </c>
      <c r="K81" s="19">
        <f t="shared" si="20"/>
        <v>179166.66666666683</v>
      </c>
    </row>
    <row r="82" spans="6:11" x14ac:dyDescent="0.25">
      <c r="F82" s="18">
        <v>18</v>
      </c>
      <c r="G82" s="19">
        <f t="shared" si="21"/>
        <v>179166.66666666683</v>
      </c>
      <c r="H82" s="20">
        <f t="shared" si="17"/>
        <v>5375.0000000000045</v>
      </c>
      <c r="I82" s="20">
        <f t="shared" si="18"/>
        <v>4166.666666666667</v>
      </c>
      <c r="J82" s="19">
        <f t="shared" si="19"/>
        <v>9541.6666666666715</v>
      </c>
      <c r="K82" s="19">
        <f t="shared" si="20"/>
        <v>175000.00000000017</v>
      </c>
    </row>
    <row r="83" spans="6:11" x14ac:dyDescent="0.25">
      <c r="F83" s="18">
        <v>19</v>
      </c>
      <c r="G83" s="19">
        <f t="shared" si="21"/>
        <v>175000.00000000017</v>
      </c>
      <c r="H83" s="20">
        <f t="shared" si="17"/>
        <v>5250.0000000000055</v>
      </c>
      <c r="I83" s="20">
        <f t="shared" si="18"/>
        <v>4166.666666666667</v>
      </c>
      <c r="J83" s="19">
        <f t="shared" si="19"/>
        <v>9416.6666666666715</v>
      </c>
      <c r="K83" s="19">
        <f t="shared" si="20"/>
        <v>170833.33333333352</v>
      </c>
    </row>
    <row r="84" spans="6:11" x14ac:dyDescent="0.25">
      <c r="F84" s="18">
        <v>20</v>
      </c>
      <c r="G84" s="19">
        <f t="shared" si="21"/>
        <v>170833.33333333352</v>
      </c>
      <c r="H84" s="20">
        <f t="shared" si="17"/>
        <v>5125.0000000000055</v>
      </c>
      <c r="I84" s="20">
        <f t="shared" si="18"/>
        <v>4166.666666666667</v>
      </c>
      <c r="J84" s="19">
        <f t="shared" si="19"/>
        <v>9291.6666666666715</v>
      </c>
      <c r="K84" s="19">
        <f t="shared" si="20"/>
        <v>166666.66666666686</v>
      </c>
    </row>
    <row r="85" spans="6:11" x14ac:dyDescent="0.25">
      <c r="F85" s="18">
        <v>21</v>
      </c>
      <c r="G85" s="19">
        <f t="shared" si="21"/>
        <v>166666.66666666686</v>
      </c>
      <c r="H85" s="20">
        <f t="shared" si="17"/>
        <v>5000.0000000000055</v>
      </c>
      <c r="I85" s="20">
        <f t="shared" si="18"/>
        <v>4166.666666666667</v>
      </c>
      <c r="J85" s="19">
        <f t="shared" si="19"/>
        <v>9166.6666666666715</v>
      </c>
      <c r="K85" s="19">
        <f t="shared" si="20"/>
        <v>162500.0000000002</v>
      </c>
    </row>
    <row r="86" spans="6:11" x14ac:dyDescent="0.25">
      <c r="F86" s="18">
        <v>22</v>
      </c>
      <c r="G86" s="19">
        <f t="shared" si="21"/>
        <v>162500.0000000002</v>
      </c>
      <c r="H86" s="20">
        <f t="shared" si="17"/>
        <v>4875.0000000000064</v>
      </c>
      <c r="I86" s="20">
        <f t="shared" si="18"/>
        <v>4166.666666666667</v>
      </c>
      <c r="J86" s="19">
        <f t="shared" si="19"/>
        <v>9041.6666666666733</v>
      </c>
      <c r="K86" s="19">
        <f t="shared" si="20"/>
        <v>158333.33333333355</v>
      </c>
    </row>
    <row r="87" spans="6:11" x14ac:dyDescent="0.25">
      <c r="F87" s="18">
        <v>23</v>
      </c>
      <c r="G87" s="19">
        <f t="shared" si="21"/>
        <v>158333.33333333355</v>
      </c>
      <c r="H87" s="20">
        <f t="shared" si="17"/>
        <v>4750.0000000000064</v>
      </c>
      <c r="I87" s="20">
        <f t="shared" si="18"/>
        <v>4166.666666666667</v>
      </c>
      <c r="J87" s="19">
        <f t="shared" si="19"/>
        <v>8916.6666666666733</v>
      </c>
      <c r="K87" s="19">
        <f t="shared" si="20"/>
        <v>154166.66666666689</v>
      </c>
    </row>
    <row r="88" spans="6:11" x14ac:dyDescent="0.25">
      <c r="F88" s="18">
        <v>24</v>
      </c>
      <c r="G88" s="19">
        <f t="shared" si="21"/>
        <v>154166.66666666689</v>
      </c>
      <c r="H88" s="20">
        <f t="shared" si="17"/>
        <v>4625.0000000000064</v>
      </c>
      <c r="I88" s="20">
        <f t="shared" si="18"/>
        <v>4166.666666666667</v>
      </c>
      <c r="J88" s="19">
        <f t="shared" si="19"/>
        <v>8791.6666666666733</v>
      </c>
      <c r="K88" s="19">
        <f t="shared" si="20"/>
        <v>150000.00000000023</v>
      </c>
    </row>
    <row r="89" spans="6:11" x14ac:dyDescent="0.25">
      <c r="F89" s="18">
        <v>25</v>
      </c>
      <c r="G89" s="19">
        <f t="shared" si="21"/>
        <v>150000.00000000023</v>
      </c>
      <c r="H89" s="20">
        <f t="shared" si="17"/>
        <v>4500.0000000000064</v>
      </c>
      <c r="I89" s="20">
        <f t="shared" si="18"/>
        <v>4166.666666666667</v>
      </c>
      <c r="J89" s="19">
        <f t="shared" si="19"/>
        <v>8666.6666666666733</v>
      </c>
      <c r="K89" s="19">
        <f t="shared" si="20"/>
        <v>145833.33333333358</v>
      </c>
    </row>
    <row r="90" spans="6:11" x14ac:dyDescent="0.25">
      <c r="F90" s="18">
        <v>26</v>
      </c>
      <c r="G90" s="19">
        <f t="shared" si="21"/>
        <v>145833.33333333358</v>
      </c>
      <c r="H90" s="20">
        <f t="shared" si="17"/>
        <v>4375.0000000000073</v>
      </c>
      <c r="I90" s="20">
        <f t="shared" si="18"/>
        <v>4166.666666666667</v>
      </c>
      <c r="J90" s="19">
        <f t="shared" si="19"/>
        <v>8541.6666666666752</v>
      </c>
      <c r="K90" s="19">
        <f t="shared" si="20"/>
        <v>141666.66666666692</v>
      </c>
    </row>
    <row r="91" spans="6:11" x14ac:dyDescent="0.25">
      <c r="F91" s="18">
        <v>27</v>
      </c>
      <c r="G91" s="19">
        <f t="shared" si="21"/>
        <v>141666.66666666692</v>
      </c>
      <c r="H91" s="20">
        <f t="shared" si="17"/>
        <v>4250.0000000000073</v>
      </c>
      <c r="I91" s="20">
        <f t="shared" si="18"/>
        <v>4166.666666666667</v>
      </c>
      <c r="J91" s="19">
        <f t="shared" si="19"/>
        <v>8416.6666666666752</v>
      </c>
      <c r="K91" s="19">
        <f t="shared" si="20"/>
        <v>137500.00000000026</v>
      </c>
    </row>
    <row r="92" spans="6:11" x14ac:dyDescent="0.25">
      <c r="F92" s="18">
        <v>28</v>
      </c>
      <c r="G92" s="19">
        <f t="shared" si="21"/>
        <v>137500.00000000026</v>
      </c>
      <c r="H92" s="20">
        <f t="shared" si="17"/>
        <v>4125.0000000000073</v>
      </c>
      <c r="I92" s="20">
        <f t="shared" si="18"/>
        <v>4166.666666666667</v>
      </c>
      <c r="J92" s="19">
        <f t="shared" si="19"/>
        <v>8291.6666666666752</v>
      </c>
      <c r="K92" s="19">
        <f t="shared" si="20"/>
        <v>133333.3333333336</v>
      </c>
    </row>
    <row r="93" spans="6:11" x14ac:dyDescent="0.25">
      <c r="F93" s="18">
        <v>29</v>
      </c>
      <c r="G93" s="19">
        <f t="shared" si="21"/>
        <v>133333.3333333336</v>
      </c>
      <c r="H93" s="20">
        <f t="shared" si="17"/>
        <v>4000.0000000000082</v>
      </c>
      <c r="I93" s="20">
        <f t="shared" si="18"/>
        <v>4166.666666666667</v>
      </c>
      <c r="J93" s="19">
        <f t="shared" si="19"/>
        <v>8166.6666666666752</v>
      </c>
      <c r="K93" s="19">
        <f t="shared" si="20"/>
        <v>129166.66666666693</v>
      </c>
    </row>
    <row r="94" spans="6:11" x14ac:dyDescent="0.25">
      <c r="F94" s="18">
        <v>30</v>
      </c>
      <c r="G94" s="19">
        <f t="shared" si="21"/>
        <v>129166.66666666693</v>
      </c>
      <c r="H94" s="20">
        <f t="shared" si="17"/>
        <v>3875.0000000000077</v>
      </c>
      <c r="I94" s="20">
        <f t="shared" si="18"/>
        <v>4166.666666666667</v>
      </c>
      <c r="J94" s="19">
        <f t="shared" si="19"/>
        <v>8041.6666666666752</v>
      </c>
      <c r="K94" s="19">
        <f t="shared" si="20"/>
        <v>125000.00000000026</v>
      </c>
    </row>
    <row r="95" spans="6:11" x14ac:dyDescent="0.25">
      <c r="F95" s="18">
        <v>31</v>
      </c>
      <c r="G95" s="19">
        <f t="shared" si="21"/>
        <v>125000.00000000026</v>
      </c>
      <c r="H95" s="20">
        <f t="shared" si="17"/>
        <v>3750.0000000000077</v>
      </c>
      <c r="I95" s="20">
        <f t="shared" si="18"/>
        <v>4166.666666666667</v>
      </c>
      <c r="J95" s="19">
        <f t="shared" si="19"/>
        <v>7916.6666666666752</v>
      </c>
      <c r="K95" s="19">
        <f t="shared" si="20"/>
        <v>120833.33333333359</v>
      </c>
    </row>
    <row r="96" spans="6:11" x14ac:dyDescent="0.25">
      <c r="F96" s="18">
        <v>32</v>
      </c>
      <c r="G96" s="19">
        <f t="shared" si="21"/>
        <v>120833.33333333359</v>
      </c>
      <c r="H96" s="20">
        <f t="shared" si="17"/>
        <v>3625.0000000000077</v>
      </c>
      <c r="I96" s="20">
        <f t="shared" si="18"/>
        <v>4166.666666666667</v>
      </c>
      <c r="J96" s="19">
        <f t="shared" si="19"/>
        <v>7791.6666666666752</v>
      </c>
      <c r="K96" s="19">
        <f t="shared" si="20"/>
        <v>116666.66666666692</v>
      </c>
    </row>
    <row r="97" spans="6:11" x14ac:dyDescent="0.25">
      <c r="F97" s="18">
        <v>33</v>
      </c>
      <c r="G97" s="19">
        <f t="shared" si="21"/>
        <v>116666.66666666692</v>
      </c>
      <c r="H97" s="20">
        <f t="shared" si="17"/>
        <v>3500.0000000000073</v>
      </c>
      <c r="I97" s="20">
        <f t="shared" si="18"/>
        <v>4166.666666666667</v>
      </c>
      <c r="J97" s="19">
        <f t="shared" si="19"/>
        <v>7666.6666666666742</v>
      </c>
      <c r="K97" s="19">
        <f t="shared" si="20"/>
        <v>112500.00000000025</v>
      </c>
    </row>
    <row r="98" spans="6:11" x14ac:dyDescent="0.25">
      <c r="F98" s="18">
        <v>34</v>
      </c>
      <c r="G98" s="19">
        <f t="shared" si="21"/>
        <v>112500.00000000025</v>
      </c>
      <c r="H98" s="20">
        <f t="shared" si="17"/>
        <v>3375.0000000000073</v>
      </c>
      <c r="I98" s="20">
        <f t="shared" si="18"/>
        <v>4166.666666666667</v>
      </c>
      <c r="J98" s="19">
        <f t="shared" si="19"/>
        <v>7541.6666666666742</v>
      </c>
      <c r="K98" s="19">
        <f t="shared" si="20"/>
        <v>108333.33333333358</v>
      </c>
    </row>
    <row r="99" spans="6:11" x14ac:dyDescent="0.25">
      <c r="F99" s="18">
        <v>35</v>
      </c>
      <c r="G99" s="19">
        <f t="shared" si="21"/>
        <v>108333.33333333358</v>
      </c>
      <c r="H99" s="20">
        <f t="shared" si="17"/>
        <v>3250.0000000000073</v>
      </c>
      <c r="I99" s="20">
        <f t="shared" si="18"/>
        <v>4166.666666666667</v>
      </c>
      <c r="J99" s="19">
        <f t="shared" si="19"/>
        <v>7416.6666666666742</v>
      </c>
      <c r="K99" s="19">
        <f t="shared" si="20"/>
        <v>104166.6666666669</v>
      </c>
    </row>
    <row r="100" spans="6:11" x14ac:dyDescent="0.25">
      <c r="F100" s="18">
        <v>36</v>
      </c>
      <c r="G100" s="19">
        <f t="shared" si="21"/>
        <v>104166.6666666669</v>
      </c>
      <c r="H100" s="20">
        <f t="shared" si="17"/>
        <v>3125.0000000000068</v>
      </c>
      <c r="I100" s="20">
        <f t="shared" si="18"/>
        <v>4166.666666666667</v>
      </c>
      <c r="J100" s="19">
        <f t="shared" si="19"/>
        <v>7291.6666666666733</v>
      </c>
      <c r="K100" s="19">
        <f t="shared" si="20"/>
        <v>100000.00000000023</v>
      </c>
    </row>
    <row r="101" spans="6:11" x14ac:dyDescent="0.25">
      <c r="F101" s="18">
        <v>37</v>
      </c>
      <c r="G101" s="19">
        <f t="shared" si="21"/>
        <v>100000.00000000023</v>
      </c>
      <c r="H101" s="20">
        <f t="shared" si="17"/>
        <v>3000.0000000000068</v>
      </c>
      <c r="I101" s="20">
        <f t="shared" si="18"/>
        <v>4166.666666666667</v>
      </c>
      <c r="J101" s="19">
        <f t="shared" si="19"/>
        <v>7166.6666666666733</v>
      </c>
      <c r="K101" s="19">
        <f t="shared" si="20"/>
        <v>95833.333333333561</v>
      </c>
    </row>
    <row r="102" spans="6:11" x14ac:dyDescent="0.25">
      <c r="F102" s="18">
        <v>38</v>
      </c>
      <c r="G102" s="19">
        <f t="shared" si="21"/>
        <v>95833.333333333561</v>
      </c>
      <c r="H102" s="20">
        <f t="shared" si="17"/>
        <v>2875.0000000000068</v>
      </c>
      <c r="I102" s="20">
        <f t="shared" si="18"/>
        <v>4166.666666666667</v>
      </c>
      <c r="J102" s="19">
        <f t="shared" si="19"/>
        <v>7041.6666666666733</v>
      </c>
      <c r="K102" s="19">
        <f t="shared" si="20"/>
        <v>91666.66666666689</v>
      </c>
    </row>
    <row r="103" spans="6:11" x14ac:dyDescent="0.25">
      <c r="F103" s="18">
        <v>39</v>
      </c>
      <c r="G103" s="19">
        <f t="shared" si="21"/>
        <v>91666.66666666689</v>
      </c>
      <c r="H103" s="20">
        <f t="shared" si="17"/>
        <v>2750.0000000000064</v>
      </c>
      <c r="I103" s="20">
        <f t="shared" si="18"/>
        <v>4166.666666666667</v>
      </c>
      <c r="J103" s="19">
        <f t="shared" si="19"/>
        <v>6916.6666666666733</v>
      </c>
      <c r="K103" s="19">
        <f t="shared" si="20"/>
        <v>87500.000000000218</v>
      </c>
    </row>
    <row r="104" spans="6:11" x14ac:dyDescent="0.25">
      <c r="F104" s="18">
        <v>40</v>
      </c>
      <c r="G104" s="19">
        <f t="shared" si="21"/>
        <v>87500.000000000218</v>
      </c>
      <c r="H104" s="20">
        <f t="shared" si="17"/>
        <v>2625.0000000000064</v>
      </c>
      <c r="I104" s="20">
        <f t="shared" si="18"/>
        <v>4166.666666666667</v>
      </c>
      <c r="J104" s="19">
        <f t="shared" si="19"/>
        <v>6791.6666666666733</v>
      </c>
      <c r="K104" s="19">
        <f t="shared" si="20"/>
        <v>83333.333333333547</v>
      </c>
    </row>
    <row r="105" spans="6:11" x14ac:dyDescent="0.25">
      <c r="F105" s="18">
        <v>41</v>
      </c>
      <c r="G105" s="19">
        <f t="shared" si="21"/>
        <v>83333.333333333547</v>
      </c>
      <c r="H105" s="20">
        <f t="shared" si="17"/>
        <v>2500.0000000000064</v>
      </c>
      <c r="I105" s="20">
        <f t="shared" si="18"/>
        <v>4166.666666666667</v>
      </c>
      <c r="J105" s="19">
        <f t="shared" si="19"/>
        <v>6666.6666666666733</v>
      </c>
      <c r="K105" s="19">
        <f t="shared" si="20"/>
        <v>79166.666666666875</v>
      </c>
    </row>
    <row r="106" spans="6:11" x14ac:dyDescent="0.25">
      <c r="F106" s="18">
        <v>42</v>
      </c>
      <c r="G106" s="19">
        <f t="shared" si="21"/>
        <v>79166.666666666875</v>
      </c>
      <c r="H106" s="20">
        <f t="shared" si="17"/>
        <v>2375.0000000000064</v>
      </c>
      <c r="I106" s="20">
        <f t="shared" si="18"/>
        <v>4166.666666666667</v>
      </c>
      <c r="J106" s="19">
        <f t="shared" si="19"/>
        <v>6541.6666666666733</v>
      </c>
      <c r="K106" s="19">
        <f t="shared" si="20"/>
        <v>75000.000000000204</v>
      </c>
    </row>
    <row r="107" spans="6:11" x14ac:dyDescent="0.25">
      <c r="F107" s="18">
        <v>43</v>
      </c>
      <c r="G107" s="19">
        <f t="shared" si="21"/>
        <v>75000.000000000204</v>
      </c>
      <c r="H107" s="20">
        <f t="shared" si="17"/>
        <v>2250.0000000000059</v>
      </c>
      <c r="I107" s="20">
        <f t="shared" si="18"/>
        <v>4166.666666666667</v>
      </c>
      <c r="J107" s="19">
        <f t="shared" si="19"/>
        <v>6416.6666666666733</v>
      </c>
      <c r="K107" s="19">
        <f t="shared" si="20"/>
        <v>70833.333333333532</v>
      </c>
    </row>
    <row r="108" spans="6:11" x14ac:dyDescent="0.25">
      <c r="F108" s="18">
        <v>44</v>
      </c>
      <c r="G108" s="19">
        <f t="shared" si="21"/>
        <v>70833.333333333532</v>
      </c>
      <c r="H108" s="20">
        <f t="shared" si="17"/>
        <v>2125.0000000000059</v>
      </c>
      <c r="I108" s="20">
        <f t="shared" si="18"/>
        <v>4166.666666666667</v>
      </c>
      <c r="J108" s="19">
        <f t="shared" si="19"/>
        <v>6291.6666666666733</v>
      </c>
      <c r="K108" s="19">
        <f t="shared" si="20"/>
        <v>66666.666666666861</v>
      </c>
    </row>
    <row r="109" spans="6:11" x14ac:dyDescent="0.25">
      <c r="F109" s="18">
        <v>45</v>
      </c>
      <c r="G109" s="19">
        <f t="shared" si="21"/>
        <v>66666.666666666861</v>
      </c>
      <c r="H109" s="20">
        <f t="shared" si="17"/>
        <v>2000.0000000000057</v>
      </c>
      <c r="I109" s="20">
        <f t="shared" si="18"/>
        <v>4166.666666666667</v>
      </c>
      <c r="J109" s="19">
        <f t="shared" si="19"/>
        <v>6166.6666666666724</v>
      </c>
      <c r="K109" s="19">
        <f t="shared" si="20"/>
        <v>62500.000000000196</v>
      </c>
    </row>
    <row r="110" spans="6:11" x14ac:dyDescent="0.25">
      <c r="F110" s="18">
        <v>46</v>
      </c>
      <c r="G110" s="19">
        <f t="shared" si="21"/>
        <v>62500.000000000196</v>
      </c>
      <c r="H110" s="20">
        <f t="shared" si="17"/>
        <v>1875.0000000000059</v>
      </c>
      <c r="I110" s="20">
        <f t="shared" si="18"/>
        <v>4166.666666666667</v>
      </c>
      <c r="J110" s="19">
        <f t="shared" si="19"/>
        <v>6041.6666666666733</v>
      </c>
      <c r="K110" s="19">
        <f t="shared" si="20"/>
        <v>58333.333333333532</v>
      </c>
    </row>
    <row r="111" spans="6:11" x14ac:dyDescent="0.25">
      <c r="F111" s="18">
        <v>47</v>
      </c>
      <c r="G111" s="19">
        <f t="shared" si="21"/>
        <v>58333.333333333532</v>
      </c>
      <c r="H111" s="20">
        <f t="shared" si="17"/>
        <v>1750.0000000000059</v>
      </c>
      <c r="I111" s="20">
        <f t="shared" si="18"/>
        <v>4166.666666666667</v>
      </c>
      <c r="J111" s="19">
        <f t="shared" si="19"/>
        <v>5916.6666666666733</v>
      </c>
      <c r="K111" s="19">
        <f t="shared" si="20"/>
        <v>54166.666666666868</v>
      </c>
    </row>
    <row r="112" spans="6:11" x14ac:dyDescent="0.25">
      <c r="F112" s="18">
        <v>48</v>
      </c>
      <c r="G112" s="19">
        <f t="shared" si="21"/>
        <v>54166.666666666868</v>
      </c>
      <c r="H112" s="20">
        <f t="shared" si="17"/>
        <v>1625.0000000000059</v>
      </c>
      <c r="I112" s="20">
        <f t="shared" si="18"/>
        <v>4166.666666666667</v>
      </c>
      <c r="J112" s="19">
        <f t="shared" si="19"/>
        <v>5791.6666666666733</v>
      </c>
      <c r="K112" s="19">
        <f t="shared" si="20"/>
        <v>50000.000000000204</v>
      </c>
    </row>
    <row r="113" spans="6:11" x14ac:dyDescent="0.25">
      <c r="F113" s="18">
        <v>49</v>
      </c>
      <c r="G113" s="19">
        <f t="shared" si="21"/>
        <v>50000.000000000204</v>
      </c>
      <c r="H113" s="20">
        <f t="shared" si="17"/>
        <v>1500.0000000000061</v>
      </c>
      <c r="I113" s="20">
        <f t="shared" si="18"/>
        <v>4166.666666666667</v>
      </c>
      <c r="J113" s="19">
        <f t="shared" si="19"/>
        <v>5666.6666666666733</v>
      </c>
      <c r="K113" s="19">
        <f t="shared" si="20"/>
        <v>45833.333333333539</v>
      </c>
    </row>
    <row r="114" spans="6:11" x14ac:dyDescent="0.25">
      <c r="F114" s="18">
        <v>50</v>
      </c>
      <c r="G114" s="19">
        <f t="shared" si="21"/>
        <v>45833.333333333539</v>
      </c>
      <c r="H114" s="20">
        <f t="shared" si="17"/>
        <v>1375.0000000000061</v>
      </c>
      <c r="I114" s="20">
        <f t="shared" si="18"/>
        <v>4166.666666666667</v>
      </c>
      <c r="J114" s="19">
        <f t="shared" si="19"/>
        <v>5541.6666666666733</v>
      </c>
      <c r="K114" s="19">
        <f t="shared" si="20"/>
        <v>41666.666666666875</v>
      </c>
    </row>
    <row r="115" spans="6:11" x14ac:dyDescent="0.25">
      <c r="F115" s="18">
        <v>51</v>
      </c>
      <c r="G115" s="19">
        <f t="shared" si="21"/>
        <v>41666.666666666875</v>
      </c>
      <c r="H115" s="20">
        <f t="shared" si="17"/>
        <v>1250.0000000000061</v>
      </c>
      <c r="I115" s="20">
        <f t="shared" si="18"/>
        <v>4166.666666666667</v>
      </c>
      <c r="J115" s="19">
        <f t="shared" si="19"/>
        <v>5416.6666666666733</v>
      </c>
      <c r="K115" s="19">
        <f t="shared" si="20"/>
        <v>37500.000000000211</v>
      </c>
    </row>
    <row r="116" spans="6:11" x14ac:dyDescent="0.25">
      <c r="F116" s="18">
        <v>52</v>
      </c>
      <c r="G116" s="19">
        <f t="shared" si="21"/>
        <v>37500.000000000211</v>
      </c>
      <c r="H116" s="20">
        <f t="shared" si="17"/>
        <v>1125.0000000000064</v>
      </c>
      <c r="I116" s="20">
        <f t="shared" si="18"/>
        <v>4166.666666666667</v>
      </c>
      <c r="J116" s="19">
        <f t="shared" si="19"/>
        <v>5291.6666666666733</v>
      </c>
      <c r="K116" s="19">
        <f t="shared" si="20"/>
        <v>33333.333333333547</v>
      </c>
    </row>
    <row r="117" spans="6:11" x14ac:dyDescent="0.25">
      <c r="F117" s="18">
        <v>53</v>
      </c>
      <c r="G117" s="19">
        <f t="shared" si="21"/>
        <v>33333.333333333547</v>
      </c>
      <c r="H117" s="20">
        <f t="shared" si="17"/>
        <v>1000.0000000000064</v>
      </c>
      <c r="I117" s="20">
        <f t="shared" si="18"/>
        <v>4166.666666666667</v>
      </c>
      <c r="J117" s="19">
        <f t="shared" si="19"/>
        <v>5166.6666666666733</v>
      </c>
      <c r="K117" s="19">
        <f t="shared" si="20"/>
        <v>29166.666666666879</v>
      </c>
    </row>
    <row r="118" spans="6:11" x14ac:dyDescent="0.25">
      <c r="F118" s="18">
        <v>54</v>
      </c>
      <c r="G118" s="19">
        <f t="shared" si="21"/>
        <v>29166.666666666879</v>
      </c>
      <c r="H118" s="20">
        <f t="shared" si="17"/>
        <v>875.00000000000637</v>
      </c>
      <c r="I118" s="20">
        <f t="shared" si="18"/>
        <v>4166.666666666667</v>
      </c>
      <c r="J118" s="19">
        <f t="shared" si="19"/>
        <v>5041.6666666666733</v>
      </c>
      <c r="K118" s="19">
        <f t="shared" si="20"/>
        <v>25000.000000000211</v>
      </c>
    </row>
    <row r="119" spans="6:11" x14ac:dyDescent="0.25">
      <c r="F119" s="18">
        <v>55</v>
      </c>
      <c r="G119" s="19">
        <f t="shared" si="21"/>
        <v>25000.000000000211</v>
      </c>
      <c r="H119" s="20">
        <f t="shared" si="17"/>
        <v>750.00000000000625</v>
      </c>
      <c r="I119" s="20">
        <f t="shared" si="18"/>
        <v>4166.666666666667</v>
      </c>
      <c r="J119" s="19">
        <f t="shared" si="19"/>
        <v>4916.6666666666733</v>
      </c>
      <c r="K119" s="19">
        <f t="shared" si="20"/>
        <v>20833.333333333543</v>
      </c>
    </row>
    <row r="120" spans="6:11" x14ac:dyDescent="0.25">
      <c r="F120" s="18">
        <v>56</v>
      </c>
      <c r="G120" s="19">
        <f t="shared" si="21"/>
        <v>20833.333333333543</v>
      </c>
      <c r="H120" s="20">
        <f t="shared" si="17"/>
        <v>625.00000000000625</v>
      </c>
      <c r="I120" s="20">
        <f t="shared" si="18"/>
        <v>4166.666666666667</v>
      </c>
      <c r="J120" s="19">
        <f t="shared" si="19"/>
        <v>4791.6666666666733</v>
      </c>
      <c r="K120" s="19">
        <f t="shared" si="20"/>
        <v>16666.666666666875</v>
      </c>
    </row>
    <row r="121" spans="6:11" x14ac:dyDescent="0.25">
      <c r="F121" s="18">
        <v>57</v>
      </c>
      <c r="G121" s="19">
        <f t="shared" si="21"/>
        <v>16666.666666666875</v>
      </c>
      <c r="H121" s="20">
        <f t="shared" si="17"/>
        <v>500.00000000000625</v>
      </c>
      <c r="I121" s="20">
        <f t="shared" si="18"/>
        <v>4166.666666666667</v>
      </c>
      <c r="J121" s="19">
        <f t="shared" si="19"/>
        <v>4666.6666666666733</v>
      </c>
      <c r="K121" s="19">
        <f t="shared" si="20"/>
        <v>12500.000000000207</v>
      </c>
    </row>
    <row r="122" spans="6:11" x14ac:dyDescent="0.25">
      <c r="F122" s="18">
        <v>58</v>
      </c>
      <c r="G122" s="19">
        <f t="shared" si="21"/>
        <v>12500.000000000207</v>
      </c>
      <c r="H122" s="20">
        <f t="shared" si="17"/>
        <v>375.0000000000062</v>
      </c>
      <c r="I122" s="20">
        <f t="shared" si="18"/>
        <v>4166.666666666667</v>
      </c>
      <c r="J122" s="19">
        <f t="shared" si="19"/>
        <v>4541.6666666666733</v>
      </c>
      <c r="K122" s="19">
        <f t="shared" si="20"/>
        <v>8333.3333333335395</v>
      </c>
    </row>
    <row r="123" spans="6:11" x14ac:dyDescent="0.25">
      <c r="F123" s="18">
        <v>59</v>
      </c>
      <c r="G123" s="19">
        <f t="shared" si="21"/>
        <v>8333.3333333335395</v>
      </c>
      <c r="H123" s="20">
        <f t="shared" si="17"/>
        <v>250.00000000000617</v>
      </c>
      <c r="I123" s="20">
        <f t="shared" si="18"/>
        <v>4166.666666666667</v>
      </c>
      <c r="J123" s="19">
        <f t="shared" si="19"/>
        <v>4416.6666666666733</v>
      </c>
      <c r="K123" s="19">
        <f t="shared" si="20"/>
        <v>4166.6666666668725</v>
      </c>
    </row>
    <row r="124" spans="6:11" x14ac:dyDescent="0.25">
      <c r="F124" s="18">
        <v>60</v>
      </c>
      <c r="G124" s="19">
        <f t="shared" si="21"/>
        <v>4166.6666666668725</v>
      </c>
      <c r="H124" s="20">
        <f t="shared" si="17"/>
        <v>125.00000000000617</v>
      </c>
      <c r="I124" s="20">
        <f t="shared" si="18"/>
        <v>4166.666666666667</v>
      </c>
      <c r="J124" s="19">
        <f t="shared" si="19"/>
        <v>4291.6666666666733</v>
      </c>
      <c r="K124" s="19">
        <f t="shared" si="20"/>
        <v>2.0554580260068178E-10</v>
      </c>
    </row>
  </sheetData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DE5FE1-038D-47C7-BC53-31957598D14E}">
  <sheetPr codeName="Arkusz6">
    <tabColor rgb="FFFF0000"/>
  </sheetPr>
  <dimension ref="A1:K65"/>
  <sheetViews>
    <sheetView workbookViewId="0">
      <selection activeCell="H6" sqref="H6"/>
    </sheetView>
  </sheetViews>
  <sheetFormatPr defaultColWidth="9.85546875" defaultRowHeight="15" x14ac:dyDescent="0.25"/>
  <cols>
    <col min="1" max="1" width="25.140625" customWidth="1"/>
    <col min="2" max="2" width="6.140625" bestFit="1" customWidth="1"/>
    <col min="3" max="3" width="11.42578125" bestFit="1" customWidth="1"/>
    <col min="4" max="4" width="13.5703125" bestFit="1" customWidth="1"/>
    <col min="6" max="6" width="6.140625" bestFit="1" customWidth="1"/>
    <col min="7" max="7" width="17" bestFit="1" customWidth="1"/>
    <col min="8" max="8" width="20" bestFit="1" customWidth="1"/>
    <col min="9" max="9" width="19.7109375" bestFit="1" customWidth="1"/>
    <col min="10" max="10" width="12.5703125" customWidth="1"/>
    <col min="11" max="11" width="14.42578125" bestFit="1" customWidth="1"/>
  </cols>
  <sheetData>
    <row r="1" spans="1:11" x14ac:dyDescent="0.25">
      <c r="A1" s="23" t="s">
        <v>70</v>
      </c>
    </row>
    <row r="5" spans="1:11" x14ac:dyDescent="0.25">
      <c r="C5" s="17" t="s">
        <v>54</v>
      </c>
      <c r="D5" s="20">
        <v>250000</v>
      </c>
      <c r="F5" s="17" t="s">
        <v>58</v>
      </c>
      <c r="G5" s="17" t="s">
        <v>59</v>
      </c>
      <c r="H5" s="17" t="s">
        <v>68</v>
      </c>
      <c r="I5" s="17" t="s">
        <v>61</v>
      </c>
      <c r="J5" s="17" t="s">
        <v>62</v>
      </c>
      <c r="K5" s="17" t="s">
        <v>63</v>
      </c>
    </row>
    <row r="6" spans="1:11" x14ac:dyDescent="0.25">
      <c r="C6" s="17" t="s">
        <v>28</v>
      </c>
      <c r="D6" s="24">
        <v>0.03</v>
      </c>
      <c r="F6" s="18">
        <v>1</v>
      </c>
      <c r="G6" s="19">
        <f>D5</f>
        <v>250000</v>
      </c>
      <c r="H6" s="20">
        <f>-ISPMT($D$6,F6-1,60,$D$5)</f>
        <v>7500</v>
      </c>
      <c r="I6" s="20">
        <f>$D$5/60</f>
        <v>4166.666666666667</v>
      </c>
      <c r="J6" s="19">
        <f>H6+I6</f>
        <v>11666.666666666668</v>
      </c>
      <c r="K6" s="19">
        <f>G6-I6</f>
        <v>245833.33333333334</v>
      </c>
    </row>
    <row r="7" spans="1:11" x14ac:dyDescent="0.25">
      <c r="F7" s="18">
        <v>2</v>
      </c>
      <c r="G7" s="19">
        <f>K6</f>
        <v>245833.33333333334</v>
      </c>
      <c r="H7" s="20">
        <f t="shared" ref="H7:H65" si="0">-ISPMT($D$6,F7-1,60,$D$5)</f>
        <v>7375</v>
      </c>
      <c r="I7" s="20">
        <f t="shared" ref="I7:I65" si="1">$D$5/60</f>
        <v>4166.666666666667</v>
      </c>
      <c r="J7" s="19">
        <f t="shared" ref="J7:J65" si="2">H7+I7</f>
        <v>11541.666666666668</v>
      </c>
      <c r="K7" s="19">
        <f t="shared" ref="K7:K65" si="3">G7-I7</f>
        <v>241666.66666666669</v>
      </c>
    </row>
    <row r="8" spans="1:11" x14ac:dyDescent="0.25">
      <c r="F8" s="18">
        <v>3</v>
      </c>
      <c r="G8" s="19">
        <f t="shared" ref="G8:G65" si="4">K7</f>
        <v>241666.66666666669</v>
      </c>
      <c r="H8" s="20">
        <f t="shared" si="0"/>
        <v>7250</v>
      </c>
      <c r="I8" s="20">
        <f t="shared" si="1"/>
        <v>4166.666666666667</v>
      </c>
      <c r="J8" s="19">
        <f t="shared" si="2"/>
        <v>11416.666666666668</v>
      </c>
      <c r="K8" s="19">
        <f t="shared" si="3"/>
        <v>237500.00000000003</v>
      </c>
    </row>
    <row r="9" spans="1:11" x14ac:dyDescent="0.25">
      <c r="F9" s="18">
        <v>4</v>
      </c>
      <c r="G9" s="19">
        <f t="shared" si="4"/>
        <v>237500.00000000003</v>
      </c>
      <c r="H9" s="20">
        <f t="shared" si="0"/>
        <v>7125</v>
      </c>
      <c r="I9" s="20">
        <f t="shared" si="1"/>
        <v>4166.666666666667</v>
      </c>
      <c r="J9" s="19">
        <f t="shared" si="2"/>
        <v>11291.666666666668</v>
      </c>
      <c r="K9" s="19">
        <f t="shared" si="3"/>
        <v>233333.33333333337</v>
      </c>
    </row>
    <row r="10" spans="1:11" x14ac:dyDescent="0.25">
      <c r="F10" s="18">
        <v>5</v>
      </c>
      <c r="G10" s="19">
        <f t="shared" si="4"/>
        <v>233333.33333333337</v>
      </c>
      <c r="H10" s="20">
        <f t="shared" si="0"/>
        <v>7000</v>
      </c>
      <c r="I10" s="20">
        <f t="shared" si="1"/>
        <v>4166.666666666667</v>
      </c>
      <c r="J10" s="19">
        <f t="shared" si="2"/>
        <v>11166.666666666668</v>
      </c>
      <c r="K10" s="19">
        <f t="shared" si="3"/>
        <v>229166.66666666672</v>
      </c>
    </row>
    <row r="11" spans="1:11" x14ac:dyDescent="0.25">
      <c r="F11" s="18">
        <v>6</v>
      </c>
      <c r="G11" s="19">
        <f t="shared" si="4"/>
        <v>229166.66666666672</v>
      </c>
      <c r="H11" s="20">
        <f t="shared" si="0"/>
        <v>6875</v>
      </c>
      <c r="I11" s="20">
        <f t="shared" si="1"/>
        <v>4166.666666666667</v>
      </c>
      <c r="J11" s="19">
        <f t="shared" si="2"/>
        <v>11041.666666666668</v>
      </c>
      <c r="K11" s="19">
        <f t="shared" si="3"/>
        <v>225000.00000000006</v>
      </c>
    </row>
    <row r="12" spans="1:11" x14ac:dyDescent="0.25">
      <c r="F12" s="18">
        <v>7</v>
      </c>
      <c r="G12" s="19">
        <f t="shared" si="4"/>
        <v>225000.00000000006</v>
      </c>
      <c r="H12" s="20">
        <f t="shared" si="0"/>
        <v>6750</v>
      </c>
      <c r="I12" s="20">
        <f t="shared" si="1"/>
        <v>4166.666666666667</v>
      </c>
      <c r="J12" s="19">
        <f t="shared" si="2"/>
        <v>10916.666666666668</v>
      </c>
      <c r="K12" s="19">
        <f t="shared" si="3"/>
        <v>220833.3333333334</v>
      </c>
    </row>
    <row r="13" spans="1:11" x14ac:dyDescent="0.25">
      <c r="F13" s="18">
        <v>8</v>
      </c>
      <c r="G13" s="19">
        <f t="shared" si="4"/>
        <v>220833.3333333334</v>
      </c>
      <c r="H13" s="20">
        <f t="shared" si="0"/>
        <v>6625</v>
      </c>
      <c r="I13" s="20">
        <f t="shared" si="1"/>
        <v>4166.666666666667</v>
      </c>
      <c r="J13" s="19">
        <f t="shared" si="2"/>
        <v>10791.666666666668</v>
      </c>
      <c r="K13" s="19">
        <f t="shared" si="3"/>
        <v>216666.66666666674</v>
      </c>
    </row>
    <row r="14" spans="1:11" x14ac:dyDescent="0.25">
      <c r="F14" s="18">
        <v>9</v>
      </c>
      <c r="G14" s="19">
        <f t="shared" si="4"/>
        <v>216666.66666666674</v>
      </c>
      <c r="H14" s="20">
        <f t="shared" si="0"/>
        <v>6500</v>
      </c>
      <c r="I14" s="20">
        <f t="shared" si="1"/>
        <v>4166.666666666667</v>
      </c>
      <c r="J14" s="19">
        <f t="shared" si="2"/>
        <v>10666.666666666668</v>
      </c>
      <c r="K14" s="19">
        <f t="shared" si="3"/>
        <v>212500.00000000009</v>
      </c>
    </row>
    <row r="15" spans="1:11" x14ac:dyDescent="0.25">
      <c r="F15" s="18">
        <v>10</v>
      </c>
      <c r="G15" s="19">
        <f t="shared" si="4"/>
        <v>212500.00000000009</v>
      </c>
      <c r="H15" s="20">
        <f t="shared" si="0"/>
        <v>6375</v>
      </c>
      <c r="I15" s="20">
        <f t="shared" si="1"/>
        <v>4166.666666666667</v>
      </c>
      <c r="J15" s="19">
        <f t="shared" si="2"/>
        <v>10541.666666666668</v>
      </c>
      <c r="K15" s="19">
        <f t="shared" si="3"/>
        <v>208333.33333333343</v>
      </c>
    </row>
    <row r="16" spans="1:11" x14ac:dyDescent="0.25">
      <c r="F16" s="18">
        <v>11</v>
      </c>
      <c r="G16" s="19">
        <f t="shared" si="4"/>
        <v>208333.33333333343</v>
      </c>
      <c r="H16" s="20">
        <f t="shared" si="0"/>
        <v>6250</v>
      </c>
      <c r="I16" s="20">
        <f t="shared" si="1"/>
        <v>4166.666666666667</v>
      </c>
      <c r="J16" s="19">
        <f t="shared" si="2"/>
        <v>10416.666666666668</v>
      </c>
      <c r="K16" s="19">
        <f t="shared" si="3"/>
        <v>204166.66666666677</v>
      </c>
    </row>
    <row r="17" spans="6:11" x14ac:dyDescent="0.25">
      <c r="F17" s="18">
        <v>12</v>
      </c>
      <c r="G17" s="19">
        <f t="shared" si="4"/>
        <v>204166.66666666677</v>
      </c>
      <c r="H17" s="20">
        <f t="shared" si="0"/>
        <v>6125</v>
      </c>
      <c r="I17" s="20">
        <f t="shared" si="1"/>
        <v>4166.666666666667</v>
      </c>
      <c r="J17" s="19">
        <f t="shared" si="2"/>
        <v>10291.666666666668</v>
      </c>
      <c r="K17" s="19">
        <f t="shared" si="3"/>
        <v>200000.00000000012</v>
      </c>
    </row>
    <row r="18" spans="6:11" x14ac:dyDescent="0.25">
      <c r="F18" s="18">
        <v>13</v>
      </c>
      <c r="G18" s="19">
        <f t="shared" si="4"/>
        <v>200000.00000000012</v>
      </c>
      <c r="H18" s="20">
        <f t="shared" si="0"/>
        <v>6000</v>
      </c>
      <c r="I18" s="20">
        <f t="shared" si="1"/>
        <v>4166.666666666667</v>
      </c>
      <c r="J18" s="19">
        <f t="shared" si="2"/>
        <v>10166.666666666668</v>
      </c>
      <c r="K18" s="19">
        <f t="shared" si="3"/>
        <v>195833.33333333346</v>
      </c>
    </row>
    <row r="19" spans="6:11" x14ac:dyDescent="0.25">
      <c r="F19" s="18">
        <v>14</v>
      </c>
      <c r="G19" s="19">
        <f t="shared" si="4"/>
        <v>195833.33333333346</v>
      </c>
      <c r="H19" s="20">
        <f t="shared" si="0"/>
        <v>5875</v>
      </c>
      <c r="I19" s="20">
        <f t="shared" si="1"/>
        <v>4166.666666666667</v>
      </c>
      <c r="J19" s="19">
        <f t="shared" si="2"/>
        <v>10041.666666666668</v>
      </c>
      <c r="K19" s="19">
        <f t="shared" si="3"/>
        <v>191666.6666666668</v>
      </c>
    </row>
    <row r="20" spans="6:11" x14ac:dyDescent="0.25">
      <c r="F20" s="18">
        <v>15</v>
      </c>
      <c r="G20" s="19">
        <f t="shared" si="4"/>
        <v>191666.6666666668</v>
      </c>
      <c r="H20" s="20">
        <f t="shared" si="0"/>
        <v>5750</v>
      </c>
      <c r="I20" s="20">
        <f t="shared" si="1"/>
        <v>4166.666666666667</v>
      </c>
      <c r="J20" s="19">
        <f t="shared" si="2"/>
        <v>9916.6666666666679</v>
      </c>
      <c r="K20" s="19">
        <f t="shared" si="3"/>
        <v>187500.00000000015</v>
      </c>
    </row>
    <row r="21" spans="6:11" x14ac:dyDescent="0.25">
      <c r="F21" s="18">
        <v>16</v>
      </c>
      <c r="G21" s="19">
        <f t="shared" si="4"/>
        <v>187500.00000000015</v>
      </c>
      <c r="H21" s="20">
        <f t="shared" si="0"/>
        <v>5625</v>
      </c>
      <c r="I21" s="20">
        <f t="shared" si="1"/>
        <v>4166.666666666667</v>
      </c>
      <c r="J21" s="19">
        <f t="shared" si="2"/>
        <v>9791.6666666666679</v>
      </c>
      <c r="K21" s="19">
        <f t="shared" si="3"/>
        <v>183333.33333333349</v>
      </c>
    </row>
    <row r="22" spans="6:11" x14ac:dyDescent="0.25">
      <c r="F22" s="18">
        <v>17</v>
      </c>
      <c r="G22" s="19">
        <f t="shared" si="4"/>
        <v>183333.33333333349</v>
      </c>
      <c r="H22" s="20">
        <f t="shared" si="0"/>
        <v>5500</v>
      </c>
      <c r="I22" s="20">
        <f t="shared" si="1"/>
        <v>4166.666666666667</v>
      </c>
      <c r="J22" s="19">
        <f t="shared" si="2"/>
        <v>9666.6666666666679</v>
      </c>
      <c r="K22" s="19">
        <f t="shared" si="3"/>
        <v>179166.66666666683</v>
      </c>
    </row>
    <row r="23" spans="6:11" x14ac:dyDescent="0.25">
      <c r="F23" s="18">
        <v>18</v>
      </c>
      <c r="G23" s="19">
        <f t="shared" si="4"/>
        <v>179166.66666666683</v>
      </c>
      <c r="H23" s="20">
        <f t="shared" si="0"/>
        <v>5375</v>
      </c>
      <c r="I23" s="20">
        <f t="shared" si="1"/>
        <v>4166.666666666667</v>
      </c>
      <c r="J23" s="19">
        <f t="shared" si="2"/>
        <v>9541.6666666666679</v>
      </c>
      <c r="K23" s="19">
        <f t="shared" si="3"/>
        <v>175000.00000000017</v>
      </c>
    </row>
    <row r="24" spans="6:11" x14ac:dyDescent="0.25">
      <c r="F24" s="18">
        <v>19</v>
      </c>
      <c r="G24" s="19">
        <f t="shared" si="4"/>
        <v>175000.00000000017</v>
      </c>
      <c r="H24" s="20">
        <f t="shared" si="0"/>
        <v>5250</v>
      </c>
      <c r="I24" s="20">
        <f t="shared" si="1"/>
        <v>4166.666666666667</v>
      </c>
      <c r="J24" s="19">
        <f t="shared" si="2"/>
        <v>9416.6666666666679</v>
      </c>
      <c r="K24" s="19">
        <f t="shared" si="3"/>
        <v>170833.33333333352</v>
      </c>
    </row>
    <row r="25" spans="6:11" x14ac:dyDescent="0.25">
      <c r="F25" s="18">
        <v>20</v>
      </c>
      <c r="G25" s="19">
        <f t="shared" si="4"/>
        <v>170833.33333333352</v>
      </c>
      <c r="H25" s="20">
        <f t="shared" si="0"/>
        <v>5125</v>
      </c>
      <c r="I25" s="20">
        <f t="shared" si="1"/>
        <v>4166.666666666667</v>
      </c>
      <c r="J25" s="19">
        <f t="shared" si="2"/>
        <v>9291.6666666666679</v>
      </c>
      <c r="K25" s="19">
        <f t="shared" si="3"/>
        <v>166666.66666666686</v>
      </c>
    </row>
    <row r="26" spans="6:11" x14ac:dyDescent="0.25">
      <c r="F26" s="18">
        <v>21</v>
      </c>
      <c r="G26" s="19">
        <f t="shared" si="4"/>
        <v>166666.66666666686</v>
      </c>
      <c r="H26" s="20">
        <f t="shared" si="0"/>
        <v>5000</v>
      </c>
      <c r="I26" s="20">
        <f t="shared" si="1"/>
        <v>4166.666666666667</v>
      </c>
      <c r="J26" s="19">
        <f t="shared" si="2"/>
        <v>9166.6666666666679</v>
      </c>
      <c r="K26" s="19">
        <f t="shared" si="3"/>
        <v>162500.0000000002</v>
      </c>
    </row>
    <row r="27" spans="6:11" x14ac:dyDescent="0.25">
      <c r="F27" s="18">
        <v>22</v>
      </c>
      <c r="G27" s="19">
        <f t="shared" si="4"/>
        <v>162500.0000000002</v>
      </c>
      <c r="H27" s="20">
        <f t="shared" si="0"/>
        <v>4875</v>
      </c>
      <c r="I27" s="20">
        <f t="shared" si="1"/>
        <v>4166.666666666667</v>
      </c>
      <c r="J27" s="19">
        <f t="shared" si="2"/>
        <v>9041.6666666666679</v>
      </c>
      <c r="K27" s="19">
        <f t="shared" si="3"/>
        <v>158333.33333333355</v>
      </c>
    </row>
    <row r="28" spans="6:11" x14ac:dyDescent="0.25">
      <c r="F28" s="18">
        <v>23</v>
      </c>
      <c r="G28" s="19">
        <f t="shared" si="4"/>
        <v>158333.33333333355</v>
      </c>
      <c r="H28" s="20">
        <f t="shared" si="0"/>
        <v>4750</v>
      </c>
      <c r="I28" s="20">
        <f t="shared" si="1"/>
        <v>4166.666666666667</v>
      </c>
      <c r="J28" s="19">
        <f t="shared" si="2"/>
        <v>8916.6666666666679</v>
      </c>
      <c r="K28" s="19">
        <f t="shared" si="3"/>
        <v>154166.66666666689</v>
      </c>
    </row>
    <row r="29" spans="6:11" x14ac:dyDescent="0.25">
      <c r="F29" s="18">
        <v>24</v>
      </c>
      <c r="G29" s="19">
        <f t="shared" si="4"/>
        <v>154166.66666666689</v>
      </c>
      <c r="H29" s="20">
        <f t="shared" si="0"/>
        <v>4625</v>
      </c>
      <c r="I29" s="20">
        <f t="shared" si="1"/>
        <v>4166.666666666667</v>
      </c>
      <c r="J29" s="19">
        <f t="shared" si="2"/>
        <v>8791.6666666666679</v>
      </c>
      <c r="K29" s="19">
        <f t="shared" si="3"/>
        <v>150000.00000000023</v>
      </c>
    </row>
    <row r="30" spans="6:11" x14ac:dyDescent="0.25">
      <c r="F30" s="18">
        <v>25</v>
      </c>
      <c r="G30" s="19">
        <f t="shared" si="4"/>
        <v>150000.00000000023</v>
      </c>
      <c r="H30" s="20">
        <f t="shared" si="0"/>
        <v>4500</v>
      </c>
      <c r="I30" s="20">
        <f t="shared" si="1"/>
        <v>4166.666666666667</v>
      </c>
      <c r="J30" s="19">
        <f t="shared" si="2"/>
        <v>8666.6666666666679</v>
      </c>
      <c r="K30" s="19">
        <f t="shared" si="3"/>
        <v>145833.33333333358</v>
      </c>
    </row>
    <row r="31" spans="6:11" x14ac:dyDescent="0.25">
      <c r="F31" s="18">
        <v>26</v>
      </c>
      <c r="G31" s="19">
        <f t="shared" si="4"/>
        <v>145833.33333333358</v>
      </c>
      <c r="H31" s="20">
        <f t="shared" si="0"/>
        <v>4375</v>
      </c>
      <c r="I31" s="20">
        <f t="shared" si="1"/>
        <v>4166.666666666667</v>
      </c>
      <c r="J31" s="19">
        <f t="shared" si="2"/>
        <v>8541.6666666666679</v>
      </c>
      <c r="K31" s="19">
        <f t="shared" si="3"/>
        <v>141666.66666666692</v>
      </c>
    </row>
    <row r="32" spans="6:11" x14ac:dyDescent="0.25">
      <c r="F32" s="18">
        <v>27</v>
      </c>
      <c r="G32" s="19">
        <f t="shared" si="4"/>
        <v>141666.66666666692</v>
      </c>
      <c r="H32" s="20">
        <f t="shared" si="0"/>
        <v>4250</v>
      </c>
      <c r="I32" s="20">
        <f t="shared" si="1"/>
        <v>4166.666666666667</v>
      </c>
      <c r="J32" s="19">
        <f t="shared" si="2"/>
        <v>8416.6666666666679</v>
      </c>
      <c r="K32" s="19">
        <f t="shared" si="3"/>
        <v>137500.00000000026</v>
      </c>
    </row>
    <row r="33" spans="6:11" x14ac:dyDescent="0.25">
      <c r="F33" s="18">
        <v>28</v>
      </c>
      <c r="G33" s="19">
        <f t="shared" si="4"/>
        <v>137500.00000000026</v>
      </c>
      <c r="H33" s="20">
        <f t="shared" si="0"/>
        <v>4125</v>
      </c>
      <c r="I33" s="20">
        <f t="shared" si="1"/>
        <v>4166.666666666667</v>
      </c>
      <c r="J33" s="19">
        <f t="shared" si="2"/>
        <v>8291.6666666666679</v>
      </c>
      <c r="K33" s="19">
        <f t="shared" si="3"/>
        <v>133333.3333333336</v>
      </c>
    </row>
    <row r="34" spans="6:11" x14ac:dyDescent="0.25">
      <c r="F34" s="18">
        <v>29</v>
      </c>
      <c r="G34" s="19">
        <f t="shared" si="4"/>
        <v>133333.3333333336</v>
      </c>
      <c r="H34" s="20">
        <f t="shared" si="0"/>
        <v>4000</v>
      </c>
      <c r="I34" s="20">
        <f t="shared" si="1"/>
        <v>4166.666666666667</v>
      </c>
      <c r="J34" s="19">
        <f t="shared" si="2"/>
        <v>8166.666666666667</v>
      </c>
      <c r="K34" s="19">
        <f t="shared" si="3"/>
        <v>129166.66666666693</v>
      </c>
    </row>
    <row r="35" spans="6:11" x14ac:dyDescent="0.25">
      <c r="F35" s="18">
        <v>30</v>
      </c>
      <c r="G35" s="19">
        <f t="shared" si="4"/>
        <v>129166.66666666693</v>
      </c>
      <c r="H35" s="20">
        <f t="shared" si="0"/>
        <v>3875</v>
      </c>
      <c r="I35" s="20">
        <f t="shared" si="1"/>
        <v>4166.666666666667</v>
      </c>
      <c r="J35" s="19">
        <f t="shared" si="2"/>
        <v>8041.666666666667</v>
      </c>
      <c r="K35" s="19">
        <f t="shared" si="3"/>
        <v>125000.00000000026</v>
      </c>
    </row>
    <row r="36" spans="6:11" x14ac:dyDescent="0.25">
      <c r="F36" s="18">
        <v>31</v>
      </c>
      <c r="G36" s="19">
        <f t="shared" si="4"/>
        <v>125000.00000000026</v>
      </c>
      <c r="H36" s="20">
        <f t="shared" si="0"/>
        <v>3750</v>
      </c>
      <c r="I36" s="20">
        <f t="shared" si="1"/>
        <v>4166.666666666667</v>
      </c>
      <c r="J36" s="19">
        <f t="shared" si="2"/>
        <v>7916.666666666667</v>
      </c>
      <c r="K36" s="19">
        <f t="shared" si="3"/>
        <v>120833.33333333359</v>
      </c>
    </row>
    <row r="37" spans="6:11" x14ac:dyDescent="0.25">
      <c r="F37" s="18">
        <v>32</v>
      </c>
      <c r="G37" s="19">
        <f t="shared" si="4"/>
        <v>120833.33333333359</v>
      </c>
      <c r="H37" s="20">
        <f t="shared" si="0"/>
        <v>3625</v>
      </c>
      <c r="I37" s="20">
        <f t="shared" si="1"/>
        <v>4166.666666666667</v>
      </c>
      <c r="J37" s="19">
        <f t="shared" si="2"/>
        <v>7791.666666666667</v>
      </c>
      <c r="K37" s="19">
        <f t="shared" si="3"/>
        <v>116666.66666666692</v>
      </c>
    </row>
    <row r="38" spans="6:11" x14ac:dyDescent="0.25">
      <c r="F38" s="18">
        <v>33</v>
      </c>
      <c r="G38" s="19">
        <f t="shared" si="4"/>
        <v>116666.66666666692</v>
      </c>
      <c r="H38" s="20">
        <f t="shared" si="0"/>
        <v>3500</v>
      </c>
      <c r="I38" s="20">
        <f t="shared" si="1"/>
        <v>4166.666666666667</v>
      </c>
      <c r="J38" s="19">
        <f t="shared" si="2"/>
        <v>7666.666666666667</v>
      </c>
      <c r="K38" s="19">
        <f t="shared" si="3"/>
        <v>112500.00000000025</v>
      </c>
    </row>
    <row r="39" spans="6:11" x14ac:dyDescent="0.25">
      <c r="F39" s="18">
        <v>34</v>
      </c>
      <c r="G39" s="19">
        <f t="shared" si="4"/>
        <v>112500.00000000025</v>
      </c>
      <c r="H39" s="20">
        <f t="shared" si="0"/>
        <v>3375</v>
      </c>
      <c r="I39" s="20">
        <f t="shared" si="1"/>
        <v>4166.666666666667</v>
      </c>
      <c r="J39" s="19">
        <f t="shared" si="2"/>
        <v>7541.666666666667</v>
      </c>
      <c r="K39" s="19">
        <f t="shared" si="3"/>
        <v>108333.33333333358</v>
      </c>
    </row>
    <row r="40" spans="6:11" x14ac:dyDescent="0.25">
      <c r="F40" s="18">
        <v>35</v>
      </c>
      <c r="G40" s="19">
        <f t="shared" si="4"/>
        <v>108333.33333333358</v>
      </c>
      <c r="H40" s="20">
        <f t="shared" si="0"/>
        <v>3250</v>
      </c>
      <c r="I40" s="20">
        <f t="shared" si="1"/>
        <v>4166.666666666667</v>
      </c>
      <c r="J40" s="19">
        <f t="shared" si="2"/>
        <v>7416.666666666667</v>
      </c>
      <c r="K40" s="19">
        <f t="shared" si="3"/>
        <v>104166.6666666669</v>
      </c>
    </row>
    <row r="41" spans="6:11" x14ac:dyDescent="0.25">
      <c r="F41" s="18">
        <v>36</v>
      </c>
      <c r="G41" s="19">
        <f t="shared" si="4"/>
        <v>104166.6666666669</v>
      </c>
      <c r="H41" s="20">
        <f t="shared" si="0"/>
        <v>3125</v>
      </c>
      <c r="I41" s="20">
        <f t="shared" si="1"/>
        <v>4166.666666666667</v>
      </c>
      <c r="J41" s="19">
        <f t="shared" si="2"/>
        <v>7291.666666666667</v>
      </c>
      <c r="K41" s="19">
        <f t="shared" si="3"/>
        <v>100000.00000000023</v>
      </c>
    </row>
    <row r="42" spans="6:11" x14ac:dyDescent="0.25">
      <c r="F42" s="18">
        <v>37</v>
      </c>
      <c r="G42" s="19">
        <f t="shared" si="4"/>
        <v>100000.00000000023</v>
      </c>
      <c r="H42" s="20">
        <f t="shared" si="0"/>
        <v>3000</v>
      </c>
      <c r="I42" s="20">
        <f t="shared" si="1"/>
        <v>4166.666666666667</v>
      </c>
      <c r="J42" s="19">
        <f t="shared" si="2"/>
        <v>7166.666666666667</v>
      </c>
      <c r="K42" s="19">
        <f t="shared" si="3"/>
        <v>95833.333333333561</v>
      </c>
    </row>
    <row r="43" spans="6:11" x14ac:dyDescent="0.25">
      <c r="F43" s="18">
        <v>38</v>
      </c>
      <c r="G43" s="19">
        <f t="shared" si="4"/>
        <v>95833.333333333561</v>
      </c>
      <c r="H43" s="20">
        <f t="shared" si="0"/>
        <v>2875</v>
      </c>
      <c r="I43" s="20">
        <f t="shared" si="1"/>
        <v>4166.666666666667</v>
      </c>
      <c r="J43" s="19">
        <f t="shared" si="2"/>
        <v>7041.666666666667</v>
      </c>
      <c r="K43" s="19">
        <f t="shared" si="3"/>
        <v>91666.66666666689</v>
      </c>
    </row>
    <row r="44" spans="6:11" x14ac:dyDescent="0.25">
      <c r="F44" s="18">
        <v>39</v>
      </c>
      <c r="G44" s="19">
        <f t="shared" si="4"/>
        <v>91666.66666666689</v>
      </c>
      <c r="H44" s="20">
        <f t="shared" si="0"/>
        <v>2750</v>
      </c>
      <c r="I44" s="20">
        <f t="shared" si="1"/>
        <v>4166.666666666667</v>
      </c>
      <c r="J44" s="19">
        <f t="shared" si="2"/>
        <v>6916.666666666667</v>
      </c>
      <c r="K44" s="19">
        <f t="shared" si="3"/>
        <v>87500.000000000218</v>
      </c>
    </row>
    <row r="45" spans="6:11" x14ac:dyDescent="0.25">
      <c r="F45" s="18">
        <v>40</v>
      </c>
      <c r="G45" s="19">
        <f t="shared" si="4"/>
        <v>87500.000000000218</v>
      </c>
      <c r="H45" s="20">
        <f t="shared" si="0"/>
        <v>2625</v>
      </c>
      <c r="I45" s="20">
        <f t="shared" si="1"/>
        <v>4166.666666666667</v>
      </c>
      <c r="J45" s="19">
        <f t="shared" si="2"/>
        <v>6791.666666666667</v>
      </c>
      <c r="K45" s="19">
        <f t="shared" si="3"/>
        <v>83333.333333333547</v>
      </c>
    </row>
    <row r="46" spans="6:11" x14ac:dyDescent="0.25">
      <c r="F46" s="18">
        <v>41</v>
      </c>
      <c r="G46" s="19">
        <f t="shared" si="4"/>
        <v>83333.333333333547</v>
      </c>
      <c r="H46" s="20">
        <f t="shared" si="0"/>
        <v>2500</v>
      </c>
      <c r="I46" s="20">
        <f t="shared" si="1"/>
        <v>4166.666666666667</v>
      </c>
      <c r="J46" s="19">
        <f t="shared" si="2"/>
        <v>6666.666666666667</v>
      </c>
      <c r="K46" s="19">
        <f t="shared" si="3"/>
        <v>79166.666666666875</v>
      </c>
    </row>
    <row r="47" spans="6:11" x14ac:dyDescent="0.25">
      <c r="F47" s="18">
        <v>42</v>
      </c>
      <c r="G47" s="19">
        <f t="shared" si="4"/>
        <v>79166.666666666875</v>
      </c>
      <c r="H47" s="20">
        <f t="shared" si="0"/>
        <v>2375</v>
      </c>
      <c r="I47" s="20">
        <f t="shared" si="1"/>
        <v>4166.666666666667</v>
      </c>
      <c r="J47" s="19">
        <f t="shared" si="2"/>
        <v>6541.666666666667</v>
      </c>
      <c r="K47" s="19">
        <f t="shared" si="3"/>
        <v>75000.000000000204</v>
      </c>
    </row>
    <row r="48" spans="6:11" x14ac:dyDescent="0.25">
      <c r="F48" s="18">
        <v>43</v>
      </c>
      <c r="G48" s="19">
        <f t="shared" si="4"/>
        <v>75000.000000000204</v>
      </c>
      <c r="H48" s="20">
        <f t="shared" si="0"/>
        <v>2250</v>
      </c>
      <c r="I48" s="20">
        <f t="shared" si="1"/>
        <v>4166.666666666667</v>
      </c>
      <c r="J48" s="19">
        <f t="shared" si="2"/>
        <v>6416.666666666667</v>
      </c>
      <c r="K48" s="19">
        <f t="shared" si="3"/>
        <v>70833.333333333532</v>
      </c>
    </row>
    <row r="49" spans="6:11" x14ac:dyDescent="0.25">
      <c r="F49" s="18">
        <v>44</v>
      </c>
      <c r="G49" s="19">
        <f t="shared" si="4"/>
        <v>70833.333333333532</v>
      </c>
      <c r="H49" s="20">
        <f t="shared" si="0"/>
        <v>2125</v>
      </c>
      <c r="I49" s="20">
        <f t="shared" si="1"/>
        <v>4166.666666666667</v>
      </c>
      <c r="J49" s="19">
        <f t="shared" si="2"/>
        <v>6291.666666666667</v>
      </c>
      <c r="K49" s="19">
        <f t="shared" si="3"/>
        <v>66666.666666666861</v>
      </c>
    </row>
    <row r="50" spans="6:11" x14ac:dyDescent="0.25">
      <c r="F50" s="18">
        <v>45</v>
      </c>
      <c r="G50" s="19">
        <f t="shared" si="4"/>
        <v>66666.666666666861</v>
      </c>
      <c r="H50" s="20">
        <f t="shared" si="0"/>
        <v>2000</v>
      </c>
      <c r="I50" s="20">
        <f t="shared" si="1"/>
        <v>4166.666666666667</v>
      </c>
      <c r="J50" s="19">
        <f t="shared" si="2"/>
        <v>6166.666666666667</v>
      </c>
      <c r="K50" s="19">
        <f t="shared" si="3"/>
        <v>62500.000000000196</v>
      </c>
    </row>
    <row r="51" spans="6:11" x14ac:dyDescent="0.25">
      <c r="F51" s="18">
        <v>46</v>
      </c>
      <c r="G51" s="19">
        <f t="shared" si="4"/>
        <v>62500.000000000196</v>
      </c>
      <c r="H51" s="20">
        <f t="shared" si="0"/>
        <v>1875</v>
      </c>
      <c r="I51" s="20">
        <f t="shared" si="1"/>
        <v>4166.666666666667</v>
      </c>
      <c r="J51" s="19">
        <f t="shared" si="2"/>
        <v>6041.666666666667</v>
      </c>
      <c r="K51" s="19">
        <f t="shared" si="3"/>
        <v>58333.333333333532</v>
      </c>
    </row>
    <row r="52" spans="6:11" x14ac:dyDescent="0.25">
      <c r="F52" s="18">
        <v>47</v>
      </c>
      <c r="G52" s="19">
        <f t="shared" si="4"/>
        <v>58333.333333333532</v>
      </c>
      <c r="H52" s="20">
        <f t="shared" si="0"/>
        <v>1750</v>
      </c>
      <c r="I52" s="20">
        <f t="shared" si="1"/>
        <v>4166.666666666667</v>
      </c>
      <c r="J52" s="19">
        <f t="shared" si="2"/>
        <v>5916.666666666667</v>
      </c>
      <c r="K52" s="19">
        <f t="shared" si="3"/>
        <v>54166.666666666868</v>
      </c>
    </row>
    <row r="53" spans="6:11" x14ac:dyDescent="0.25">
      <c r="F53" s="18">
        <v>48</v>
      </c>
      <c r="G53" s="19">
        <f t="shared" si="4"/>
        <v>54166.666666666868</v>
      </c>
      <c r="H53" s="20">
        <f t="shared" si="0"/>
        <v>1625</v>
      </c>
      <c r="I53" s="20">
        <f t="shared" si="1"/>
        <v>4166.666666666667</v>
      </c>
      <c r="J53" s="19">
        <f t="shared" si="2"/>
        <v>5791.666666666667</v>
      </c>
      <c r="K53" s="19">
        <f t="shared" si="3"/>
        <v>50000.000000000204</v>
      </c>
    </row>
    <row r="54" spans="6:11" x14ac:dyDescent="0.25">
      <c r="F54" s="18">
        <v>49</v>
      </c>
      <c r="G54" s="19">
        <f t="shared" si="4"/>
        <v>50000.000000000204</v>
      </c>
      <c r="H54" s="20">
        <f t="shared" si="0"/>
        <v>1500</v>
      </c>
      <c r="I54" s="20">
        <f t="shared" si="1"/>
        <v>4166.666666666667</v>
      </c>
      <c r="J54" s="19">
        <f t="shared" si="2"/>
        <v>5666.666666666667</v>
      </c>
      <c r="K54" s="19">
        <f t="shared" si="3"/>
        <v>45833.333333333539</v>
      </c>
    </row>
    <row r="55" spans="6:11" x14ac:dyDescent="0.25">
      <c r="F55" s="18">
        <v>50</v>
      </c>
      <c r="G55" s="19">
        <f t="shared" si="4"/>
        <v>45833.333333333539</v>
      </c>
      <c r="H55" s="20">
        <f t="shared" si="0"/>
        <v>1375</v>
      </c>
      <c r="I55" s="20">
        <f t="shared" si="1"/>
        <v>4166.666666666667</v>
      </c>
      <c r="J55" s="19">
        <f t="shared" si="2"/>
        <v>5541.666666666667</v>
      </c>
      <c r="K55" s="19">
        <f t="shared" si="3"/>
        <v>41666.666666666875</v>
      </c>
    </row>
    <row r="56" spans="6:11" x14ac:dyDescent="0.25">
      <c r="F56" s="18">
        <v>51</v>
      </c>
      <c r="G56" s="19">
        <f t="shared" si="4"/>
        <v>41666.666666666875</v>
      </c>
      <c r="H56" s="20">
        <f t="shared" si="0"/>
        <v>1250</v>
      </c>
      <c r="I56" s="20">
        <f t="shared" si="1"/>
        <v>4166.666666666667</v>
      </c>
      <c r="J56" s="19">
        <f t="shared" si="2"/>
        <v>5416.666666666667</v>
      </c>
      <c r="K56" s="19">
        <f t="shared" si="3"/>
        <v>37500.000000000211</v>
      </c>
    </row>
    <row r="57" spans="6:11" x14ac:dyDescent="0.25">
      <c r="F57" s="18">
        <v>52</v>
      </c>
      <c r="G57" s="19">
        <f t="shared" si="4"/>
        <v>37500.000000000211</v>
      </c>
      <c r="H57" s="20">
        <f t="shared" si="0"/>
        <v>1125</v>
      </c>
      <c r="I57" s="20">
        <f t="shared" si="1"/>
        <v>4166.666666666667</v>
      </c>
      <c r="J57" s="19">
        <f t="shared" si="2"/>
        <v>5291.666666666667</v>
      </c>
      <c r="K57" s="19">
        <f t="shared" si="3"/>
        <v>33333.333333333547</v>
      </c>
    </row>
    <row r="58" spans="6:11" x14ac:dyDescent="0.25">
      <c r="F58" s="18">
        <v>53</v>
      </c>
      <c r="G58" s="19">
        <f t="shared" si="4"/>
        <v>33333.333333333547</v>
      </c>
      <c r="H58" s="20">
        <f t="shared" si="0"/>
        <v>1000</v>
      </c>
      <c r="I58" s="20">
        <f t="shared" si="1"/>
        <v>4166.666666666667</v>
      </c>
      <c r="J58" s="19">
        <f t="shared" si="2"/>
        <v>5166.666666666667</v>
      </c>
      <c r="K58" s="19">
        <f t="shared" si="3"/>
        <v>29166.666666666879</v>
      </c>
    </row>
    <row r="59" spans="6:11" x14ac:dyDescent="0.25">
      <c r="F59" s="18">
        <v>54</v>
      </c>
      <c r="G59" s="19">
        <f t="shared" si="4"/>
        <v>29166.666666666879</v>
      </c>
      <c r="H59" s="20">
        <f t="shared" si="0"/>
        <v>875</v>
      </c>
      <c r="I59" s="20">
        <f t="shared" si="1"/>
        <v>4166.666666666667</v>
      </c>
      <c r="J59" s="19">
        <f t="shared" si="2"/>
        <v>5041.666666666667</v>
      </c>
      <c r="K59" s="19">
        <f t="shared" si="3"/>
        <v>25000.000000000211</v>
      </c>
    </row>
    <row r="60" spans="6:11" x14ac:dyDescent="0.25">
      <c r="F60" s="18">
        <v>55</v>
      </c>
      <c r="G60" s="19">
        <f t="shared" si="4"/>
        <v>25000.000000000211</v>
      </c>
      <c r="H60" s="20">
        <f t="shared" si="0"/>
        <v>750</v>
      </c>
      <c r="I60" s="20">
        <f t="shared" si="1"/>
        <v>4166.666666666667</v>
      </c>
      <c r="J60" s="19">
        <f t="shared" si="2"/>
        <v>4916.666666666667</v>
      </c>
      <c r="K60" s="19">
        <f t="shared" si="3"/>
        <v>20833.333333333543</v>
      </c>
    </row>
    <row r="61" spans="6:11" x14ac:dyDescent="0.25">
      <c r="F61" s="18">
        <v>56</v>
      </c>
      <c r="G61" s="19">
        <f t="shared" si="4"/>
        <v>20833.333333333543</v>
      </c>
      <c r="H61" s="20">
        <f t="shared" si="0"/>
        <v>625</v>
      </c>
      <c r="I61" s="20">
        <f t="shared" si="1"/>
        <v>4166.666666666667</v>
      </c>
      <c r="J61" s="19">
        <f t="shared" si="2"/>
        <v>4791.666666666667</v>
      </c>
      <c r="K61" s="19">
        <f t="shared" si="3"/>
        <v>16666.666666666875</v>
      </c>
    </row>
    <row r="62" spans="6:11" x14ac:dyDescent="0.25">
      <c r="F62" s="18">
        <v>57</v>
      </c>
      <c r="G62" s="19">
        <f t="shared" si="4"/>
        <v>16666.666666666875</v>
      </c>
      <c r="H62" s="20">
        <f t="shared" si="0"/>
        <v>500</v>
      </c>
      <c r="I62" s="20">
        <f t="shared" si="1"/>
        <v>4166.666666666667</v>
      </c>
      <c r="J62" s="19">
        <f t="shared" si="2"/>
        <v>4666.666666666667</v>
      </c>
      <c r="K62" s="19">
        <f t="shared" si="3"/>
        <v>12500.000000000207</v>
      </c>
    </row>
    <row r="63" spans="6:11" x14ac:dyDescent="0.25">
      <c r="F63" s="18">
        <v>58</v>
      </c>
      <c r="G63" s="19">
        <f t="shared" si="4"/>
        <v>12500.000000000207</v>
      </c>
      <c r="H63" s="20">
        <f t="shared" si="0"/>
        <v>375</v>
      </c>
      <c r="I63" s="20">
        <f t="shared" si="1"/>
        <v>4166.666666666667</v>
      </c>
      <c r="J63" s="19">
        <f t="shared" si="2"/>
        <v>4541.666666666667</v>
      </c>
      <c r="K63" s="19">
        <f t="shared" si="3"/>
        <v>8333.3333333335395</v>
      </c>
    </row>
    <row r="64" spans="6:11" x14ac:dyDescent="0.25">
      <c r="F64" s="18">
        <v>59</v>
      </c>
      <c r="G64" s="19">
        <f t="shared" si="4"/>
        <v>8333.3333333335395</v>
      </c>
      <c r="H64" s="20">
        <f t="shared" si="0"/>
        <v>250</v>
      </c>
      <c r="I64" s="20">
        <f t="shared" si="1"/>
        <v>4166.666666666667</v>
      </c>
      <c r="J64" s="19">
        <f t="shared" si="2"/>
        <v>4416.666666666667</v>
      </c>
      <c r="K64" s="19">
        <f t="shared" si="3"/>
        <v>4166.6666666668725</v>
      </c>
    </row>
    <row r="65" spans="6:11" x14ac:dyDescent="0.25">
      <c r="F65" s="18">
        <v>60</v>
      </c>
      <c r="G65" s="19">
        <f t="shared" si="4"/>
        <v>4166.6666666668725</v>
      </c>
      <c r="H65" s="20">
        <f t="shared" si="0"/>
        <v>125</v>
      </c>
      <c r="I65" s="20">
        <f t="shared" si="1"/>
        <v>4166.666666666667</v>
      </c>
      <c r="J65" s="19">
        <f t="shared" si="2"/>
        <v>4291.666666666667</v>
      </c>
      <c r="K65" s="19">
        <f t="shared" si="3"/>
        <v>2.0554580260068178E-10</v>
      </c>
    </row>
  </sheetData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718D9A-8512-4E56-A7BE-F5B35A2D1033}">
  <sheetPr codeName="Arkusz7">
    <tabColor rgb="FFFF0000"/>
  </sheetPr>
  <dimension ref="A1:E12"/>
  <sheetViews>
    <sheetView workbookViewId="0">
      <selection activeCell="D7" sqref="D7"/>
    </sheetView>
  </sheetViews>
  <sheetFormatPr defaultRowHeight="15" x14ac:dyDescent="0.25"/>
  <cols>
    <col min="1" max="1" width="35.5703125" bestFit="1" customWidth="1"/>
    <col min="4" max="4" width="13.5703125" bestFit="1" customWidth="1"/>
    <col min="5" max="5" width="11.42578125" bestFit="1" customWidth="1"/>
  </cols>
  <sheetData>
    <row r="1" spans="1:5" ht="150" x14ac:dyDescent="0.25">
      <c r="A1" s="25" t="s">
        <v>74</v>
      </c>
    </row>
    <row r="2" spans="1:5" x14ac:dyDescent="0.25">
      <c r="A2" s="15"/>
    </row>
    <row r="3" spans="1:5" x14ac:dyDescent="0.25">
      <c r="A3" s="15"/>
      <c r="C3" s="17" t="s">
        <v>54</v>
      </c>
      <c r="D3" s="20">
        <v>100000</v>
      </c>
    </row>
    <row r="4" spans="1:5" x14ac:dyDescent="0.25">
      <c r="A4" s="15"/>
      <c r="C4" s="17" t="s">
        <v>75</v>
      </c>
      <c r="D4" s="24">
        <v>0.01</v>
      </c>
    </row>
    <row r="5" spans="1:5" x14ac:dyDescent="0.25">
      <c r="A5" s="15"/>
      <c r="C5" s="17" t="s">
        <v>43</v>
      </c>
      <c r="D5" s="17">
        <v>240</v>
      </c>
    </row>
    <row r="6" spans="1:5" x14ac:dyDescent="0.25">
      <c r="C6" s="17" t="s">
        <v>76</v>
      </c>
      <c r="D6" s="24">
        <v>1.4999999999999999E-2</v>
      </c>
    </row>
    <row r="7" spans="1:5" x14ac:dyDescent="0.25">
      <c r="D7" t="s">
        <v>81</v>
      </c>
    </row>
    <row r="8" spans="1:5" x14ac:dyDescent="0.25">
      <c r="C8" s="17" t="s">
        <v>77</v>
      </c>
      <c r="D8">
        <v>50</v>
      </c>
    </row>
    <row r="9" spans="1:5" x14ac:dyDescent="0.25">
      <c r="C9" s="17" t="s">
        <v>78</v>
      </c>
      <c r="D9" s="2">
        <f>D3/PV(D4,D5,-1,0,0)</f>
        <v>1101.0861335696097</v>
      </c>
      <c r="E9" s="2">
        <f>-PMT(D4,D5,D3,0,0)</f>
        <v>1101.08613356961</v>
      </c>
    </row>
    <row r="10" spans="1:5" x14ac:dyDescent="0.25">
      <c r="C10" s="17" t="s">
        <v>79</v>
      </c>
      <c r="D10" s="2">
        <f>D9*PV(D4,D5-D8,-1,0,0)/PV(D6,D5-D8,-1,0,0)</f>
        <v>1490.3045115315094</v>
      </c>
      <c r="E10" s="2"/>
    </row>
    <row r="12" spans="1:5" x14ac:dyDescent="0.25">
      <c r="C12" s="17" t="s">
        <v>80</v>
      </c>
      <c r="D12" s="2">
        <f>50*D9+190*D10-D3</f>
        <v>238212.16386946727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D4B422-DCF4-4217-B36E-1FBA4F8AE49B}">
  <sheetPr codeName="Arkusz8">
    <tabColor rgb="FF00B0F0"/>
  </sheetPr>
  <dimension ref="A1:K1006"/>
  <sheetViews>
    <sheetView topLeftCell="A6" workbookViewId="0">
      <selection activeCell="J8" sqref="J8"/>
    </sheetView>
  </sheetViews>
  <sheetFormatPr defaultRowHeight="15" x14ac:dyDescent="0.25"/>
  <cols>
    <col min="3" max="3" width="13.5703125" bestFit="1" customWidth="1"/>
    <col min="6" max="6" width="18.85546875" customWidth="1"/>
    <col min="7" max="7" width="16.140625" bestFit="1" customWidth="1"/>
    <col min="8" max="8" width="15.5703125" style="10" bestFit="1" customWidth="1"/>
    <col min="9" max="9" width="15.5703125" style="10" customWidth="1"/>
    <col min="10" max="10" width="16.5703125" style="10" bestFit="1" customWidth="1"/>
    <col min="11" max="11" width="16.140625" bestFit="1" customWidth="1"/>
  </cols>
  <sheetData>
    <row r="1" spans="1:11" x14ac:dyDescent="0.25">
      <c r="A1" t="s">
        <v>84</v>
      </c>
    </row>
    <row r="2" spans="1:11" x14ac:dyDescent="0.25">
      <c r="A2" t="s">
        <v>85</v>
      </c>
    </row>
    <row r="3" spans="1:11" x14ac:dyDescent="0.25">
      <c r="A3" t="s">
        <v>86</v>
      </c>
    </row>
    <row r="5" spans="1:11" ht="30" x14ac:dyDescent="0.25">
      <c r="E5" t="s">
        <v>77</v>
      </c>
      <c r="F5" s="10" t="s">
        <v>87</v>
      </c>
      <c r="G5" s="10" t="s">
        <v>91</v>
      </c>
      <c r="H5" s="10" t="s">
        <v>88</v>
      </c>
      <c r="J5" s="10" t="s">
        <v>89</v>
      </c>
      <c r="K5" s="10" t="s">
        <v>90</v>
      </c>
    </row>
    <row r="6" spans="1:11" x14ac:dyDescent="0.25">
      <c r="B6" t="s">
        <v>54</v>
      </c>
      <c r="C6" s="2">
        <v>600000</v>
      </c>
      <c r="E6">
        <v>0</v>
      </c>
      <c r="F6" s="2">
        <f>PMT(E6/12,$C$7,-$C$6,0,0)</f>
        <v>1666.6666666666667</v>
      </c>
      <c r="G6" s="2">
        <f>360*F6</f>
        <v>600000</v>
      </c>
      <c r="H6" s="26">
        <f>360*F6-$C$6</f>
        <v>0</v>
      </c>
      <c r="I6" s="26"/>
      <c r="J6" s="26">
        <f>$C$6*E6/12*($C$7+1)/2</f>
        <v>0</v>
      </c>
      <c r="K6" s="2">
        <f t="shared" ref="K6:K69" si="0">H6-J6</f>
        <v>0</v>
      </c>
    </row>
    <row r="7" spans="1:11" x14ac:dyDescent="0.25">
      <c r="B7" t="s">
        <v>43</v>
      </c>
      <c r="C7">
        <f>30*12</f>
        <v>360</v>
      </c>
      <c r="E7">
        <v>1E-3</v>
      </c>
      <c r="F7" s="2">
        <f t="shared" ref="F7:F70" si="1">PMT(E7/12,$C$7,-$C$6,0,0)</f>
        <v>1691.8611030638758</v>
      </c>
      <c r="G7" s="2">
        <f t="shared" ref="G7:G70" si="2">360*F7</f>
        <v>609069.99710299529</v>
      </c>
      <c r="H7" s="26">
        <f t="shared" ref="H7:H70" si="3">360*F7-$C$6</f>
        <v>9069.9971029952867</v>
      </c>
      <c r="I7" s="26">
        <f>H7-H6</f>
        <v>9069.9971029952867</v>
      </c>
      <c r="J7" s="26">
        <f t="shared" ref="J7:J70" si="4">$C$6*E7/12*($C$7+1)/2</f>
        <v>9025</v>
      </c>
      <c r="K7" s="2">
        <f t="shared" si="0"/>
        <v>44.997102995286696</v>
      </c>
    </row>
    <row r="8" spans="1:11" x14ac:dyDescent="0.25">
      <c r="E8">
        <v>2E-3</v>
      </c>
      <c r="F8" s="2">
        <f t="shared" si="1"/>
        <v>1717.3054800458835</v>
      </c>
      <c r="G8" s="2">
        <f t="shared" si="2"/>
        <v>618229.97281651804</v>
      </c>
      <c r="H8" s="26">
        <f t="shared" si="3"/>
        <v>18229.972816518042</v>
      </c>
      <c r="I8" s="26">
        <f>H8-H7</f>
        <v>9159.9757135227555</v>
      </c>
      <c r="J8" s="26">
        <f t="shared" si="4"/>
        <v>18050</v>
      </c>
      <c r="K8" s="2">
        <f t="shared" si="0"/>
        <v>179.97281651804224</v>
      </c>
    </row>
    <row r="9" spans="1:11" x14ac:dyDescent="0.25">
      <c r="E9">
        <v>3.0000000000000001E-3</v>
      </c>
      <c r="F9" s="2">
        <f t="shared" si="1"/>
        <v>1742.9996989301649</v>
      </c>
      <c r="G9" s="2">
        <f t="shared" si="2"/>
        <v>627479.89161485934</v>
      </c>
      <c r="H9" s="26">
        <f t="shared" si="3"/>
        <v>27479.891614859342</v>
      </c>
      <c r="I9" s="26">
        <f t="shared" ref="I9:I72" si="5">H9-H8</f>
        <v>9249.9187983412994</v>
      </c>
      <c r="J9" s="26">
        <f t="shared" si="4"/>
        <v>27075</v>
      </c>
      <c r="K9" s="2">
        <f t="shared" si="0"/>
        <v>404.89161485934164</v>
      </c>
    </row>
    <row r="10" spans="1:11" x14ac:dyDescent="0.25">
      <c r="E10">
        <v>4.0000000000000001E-3</v>
      </c>
      <c r="F10" s="2">
        <f t="shared" si="1"/>
        <v>1768.9436161599212</v>
      </c>
      <c r="G10" s="2">
        <f t="shared" si="2"/>
        <v>636819.70181757165</v>
      </c>
      <c r="H10" s="26">
        <f t="shared" si="3"/>
        <v>36819.701817571651</v>
      </c>
      <c r="I10" s="26">
        <f t="shared" si="5"/>
        <v>9339.8102027123095</v>
      </c>
      <c r="J10" s="26">
        <f t="shared" si="4"/>
        <v>36100</v>
      </c>
      <c r="K10" s="2">
        <f t="shared" si="0"/>
        <v>719.70181757165119</v>
      </c>
    </row>
    <row r="11" spans="1:11" x14ac:dyDescent="0.25">
      <c r="E11">
        <v>5.0000000000000001E-3</v>
      </c>
      <c r="F11" s="2">
        <f t="shared" si="1"/>
        <v>1795.137043404229</v>
      </c>
      <c r="G11" s="2">
        <f t="shared" si="2"/>
        <v>646249.33562552242</v>
      </c>
      <c r="H11" s="26">
        <f t="shared" si="3"/>
        <v>46249.335625522421</v>
      </c>
      <c r="I11" s="26">
        <f t="shared" si="5"/>
        <v>9429.6338079507696</v>
      </c>
      <c r="J11" s="26">
        <f t="shared" si="4"/>
        <v>45125</v>
      </c>
      <c r="K11" s="2">
        <f t="shared" si="0"/>
        <v>1124.3356255224207</v>
      </c>
    </row>
    <row r="12" spans="1:11" x14ac:dyDescent="0.25">
      <c r="E12">
        <v>6.0000000000000001E-3</v>
      </c>
      <c r="F12" s="2">
        <f t="shared" si="1"/>
        <v>1821.5797476868017</v>
      </c>
      <c r="G12" s="2">
        <f t="shared" si="2"/>
        <v>655768.70916724857</v>
      </c>
      <c r="H12" s="26">
        <f t="shared" si="3"/>
        <v>55768.709167248569</v>
      </c>
      <c r="I12" s="26">
        <f t="shared" si="5"/>
        <v>9519.3735417261487</v>
      </c>
      <c r="J12" s="26">
        <f t="shared" si="4"/>
        <v>54150</v>
      </c>
      <c r="K12" s="2">
        <f t="shared" si="0"/>
        <v>1618.7091672485694</v>
      </c>
    </row>
    <row r="13" spans="1:11" x14ac:dyDescent="0.25">
      <c r="E13">
        <v>7.0000000000000001E-3</v>
      </c>
      <c r="F13" s="2">
        <f t="shared" si="1"/>
        <v>1848.2714515431992</v>
      </c>
      <c r="G13" s="2">
        <f t="shared" si="2"/>
        <v>665377.72255555168</v>
      </c>
      <c r="H13" s="26">
        <f t="shared" si="3"/>
        <v>65377.722555551678</v>
      </c>
      <c r="I13" s="26">
        <f t="shared" si="5"/>
        <v>9609.0133883031085</v>
      </c>
      <c r="J13" s="26">
        <f t="shared" si="4"/>
        <v>63175</v>
      </c>
      <c r="K13" s="2">
        <f t="shared" si="0"/>
        <v>2202.7225555516779</v>
      </c>
    </row>
    <row r="14" spans="1:11" x14ac:dyDescent="0.25">
      <c r="E14">
        <v>8.0000000000000002E-3</v>
      </c>
      <c r="F14" s="2">
        <f t="shared" si="1"/>
        <v>1875.2118332062789</v>
      </c>
      <c r="G14" s="2">
        <f t="shared" si="2"/>
        <v>675076.25995426043</v>
      </c>
      <c r="H14" s="26">
        <f t="shared" si="3"/>
        <v>75076.259954260429</v>
      </c>
      <c r="I14" s="26">
        <f t="shared" si="5"/>
        <v>9698.5373987087514</v>
      </c>
      <c r="J14" s="26">
        <f t="shared" si="4"/>
        <v>72200</v>
      </c>
      <c r="K14" s="2">
        <f t="shared" si="0"/>
        <v>2876.2599542604294</v>
      </c>
    </row>
    <row r="15" spans="1:11" x14ac:dyDescent="0.25">
      <c r="E15">
        <v>8.9999999999999993E-3</v>
      </c>
      <c r="F15" s="2">
        <f t="shared" si="1"/>
        <v>1902.400526819642</v>
      </c>
      <c r="G15" s="2">
        <f t="shared" si="2"/>
        <v>684864.18965507112</v>
      </c>
      <c r="H15" s="26">
        <f t="shared" si="3"/>
        <v>84864.189655071124</v>
      </c>
      <c r="I15" s="26">
        <f t="shared" si="5"/>
        <v>9787.9297008106951</v>
      </c>
      <c r="J15" s="26">
        <f t="shared" si="4"/>
        <v>81225</v>
      </c>
      <c r="K15" s="2">
        <f t="shared" si="0"/>
        <v>3639.1896550711244</v>
      </c>
    </row>
    <row r="16" spans="1:11" x14ac:dyDescent="0.25">
      <c r="E16">
        <v>0.01</v>
      </c>
      <c r="F16" s="2">
        <f t="shared" si="1"/>
        <v>1929.8371226788204</v>
      </c>
      <c r="G16" s="2">
        <f t="shared" si="2"/>
        <v>694741.36416437535</v>
      </c>
      <c r="H16" s="26">
        <f t="shared" si="3"/>
        <v>94741.364164375351</v>
      </c>
      <c r="I16" s="26">
        <f t="shared" si="5"/>
        <v>9877.1745093042264</v>
      </c>
      <c r="J16" s="26">
        <f t="shared" si="4"/>
        <v>90250</v>
      </c>
      <c r="K16" s="2">
        <f t="shared" si="0"/>
        <v>4491.3641643753508</v>
      </c>
    </row>
    <row r="17" spans="5:11" x14ac:dyDescent="0.25">
      <c r="E17">
        <v>1.0999999999999999E-2</v>
      </c>
      <c r="F17" s="2">
        <f t="shared" si="1"/>
        <v>1957.5211674998775</v>
      </c>
      <c r="G17" s="2">
        <f t="shared" si="2"/>
        <v>704707.62029995595</v>
      </c>
      <c r="H17" s="26">
        <f t="shared" si="3"/>
        <v>104707.62029995595</v>
      </c>
      <c r="I17" s="26">
        <f t="shared" si="5"/>
        <v>9966.2561355805956</v>
      </c>
      <c r="J17" s="26">
        <f t="shared" si="4"/>
        <v>99275</v>
      </c>
      <c r="K17" s="2">
        <f t="shared" si="0"/>
        <v>5432.6202999559464</v>
      </c>
    </row>
    <row r="18" spans="5:11" x14ac:dyDescent="0.25">
      <c r="E18">
        <v>1.2E-2</v>
      </c>
      <c r="F18" s="2">
        <f t="shared" si="1"/>
        <v>1985.4521647150957</v>
      </c>
      <c r="G18" s="2">
        <f t="shared" si="2"/>
        <v>714762.77929743449</v>
      </c>
      <c r="H18" s="26">
        <f t="shared" si="3"/>
        <v>114762.77929743449</v>
      </c>
      <c r="I18" s="26">
        <f t="shared" si="5"/>
        <v>10055.158997478546</v>
      </c>
      <c r="J18" s="26">
        <f t="shared" si="4"/>
        <v>108300</v>
      </c>
      <c r="K18" s="2">
        <f t="shared" si="0"/>
        <v>6462.779297434492</v>
      </c>
    </row>
    <row r="19" spans="5:11" x14ac:dyDescent="0.25">
      <c r="E19">
        <v>1.2999999999999999E-2</v>
      </c>
      <c r="F19" s="2">
        <f t="shared" si="1"/>
        <v>2013.6295747953686</v>
      </c>
      <c r="G19" s="2">
        <f t="shared" si="2"/>
        <v>724906.64692633273</v>
      </c>
      <c r="H19" s="26">
        <f t="shared" si="3"/>
        <v>124906.64692633273</v>
      </c>
      <c r="I19" s="26">
        <f t="shared" si="5"/>
        <v>10143.867628898239</v>
      </c>
      <c r="J19" s="26">
        <f t="shared" si="4"/>
        <v>117325</v>
      </c>
      <c r="K19" s="2">
        <f t="shared" si="0"/>
        <v>7581.6469263327308</v>
      </c>
    </row>
    <row r="20" spans="5:11" x14ac:dyDescent="0.25">
      <c r="E20">
        <v>1.4E-2</v>
      </c>
      <c r="F20" s="2">
        <f t="shared" si="1"/>
        <v>2042.052815598898</v>
      </c>
      <c r="G20" s="2">
        <f t="shared" si="2"/>
        <v>735139.01361560321</v>
      </c>
      <c r="H20" s="26">
        <f t="shared" si="3"/>
        <v>135139.01361560321</v>
      </c>
      <c r="I20" s="26">
        <f t="shared" si="5"/>
        <v>10232.366689270479</v>
      </c>
      <c r="J20" s="26">
        <f t="shared" si="4"/>
        <v>126350</v>
      </c>
      <c r="K20" s="2">
        <f t="shared" si="0"/>
        <v>8789.0136156032095</v>
      </c>
    </row>
    <row r="21" spans="5:11" x14ac:dyDescent="0.25">
      <c r="E21">
        <v>1.4999999999999999E-2</v>
      </c>
      <c r="F21" s="2">
        <f t="shared" si="1"/>
        <v>2070.7212627457616</v>
      </c>
      <c r="G21" s="2">
        <f t="shared" si="2"/>
        <v>745459.65458847419</v>
      </c>
      <c r="H21" s="26">
        <f t="shared" si="3"/>
        <v>145459.65458847419</v>
      </c>
      <c r="I21" s="26">
        <f t="shared" si="5"/>
        <v>10320.640972870984</v>
      </c>
      <c r="J21" s="26">
        <f t="shared" si="4"/>
        <v>135375</v>
      </c>
      <c r="K21" s="2">
        <f t="shared" si="0"/>
        <v>10084.654588474194</v>
      </c>
    </row>
    <row r="22" spans="5:11" x14ac:dyDescent="0.25">
      <c r="E22">
        <v>1.6E-2</v>
      </c>
      <c r="F22" s="2">
        <f t="shared" si="1"/>
        <v>2099.6342500178785</v>
      </c>
      <c r="G22" s="2">
        <f t="shared" si="2"/>
        <v>755868.33000643621</v>
      </c>
      <c r="H22" s="26">
        <f t="shared" si="3"/>
        <v>155868.33000643621</v>
      </c>
      <c r="I22" s="26">
        <f t="shared" si="5"/>
        <v>10408.675417962018</v>
      </c>
      <c r="J22" s="26">
        <f t="shared" si="4"/>
        <v>144400</v>
      </c>
      <c r="K22" s="2">
        <f t="shared" si="0"/>
        <v>11468.330006436212</v>
      </c>
    </row>
    <row r="23" spans="5:11" x14ac:dyDescent="0.25">
      <c r="E23">
        <v>1.7000000000000001E-2</v>
      </c>
      <c r="F23" s="2">
        <f t="shared" si="1"/>
        <v>2128.7910697838843</v>
      </c>
      <c r="G23" s="2">
        <f t="shared" si="2"/>
        <v>766364.78512219829</v>
      </c>
      <c r="H23" s="26">
        <f t="shared" si="3"/>
        <v>166364.78512219829</v>
      </c>
      <c r="I23" s="26">
        <f t="shared" si="5"/>
        <v>10496.455115762074</v>
      </c>
      <c r="J23" s="26">
        <f t="shared" si="4"/>
        <v>153425</v>
      </c>
      <c r="K23" s="2">
        <f t="shared" si="0"/>
        <v>12939.785122198286</v>
      </c>
    </row>
    <row r="24" spans="5:11" x14ac:dyDescent="0.25">
      <c r="E24">
        <v>1.7999999999999999E-2</v>
      </c>
      <c r="F24" s="2">
        <f t="shared" si="1"/>
        <v>2158.1909734483834</v>
      </c>
      <c r="G24" s="2">
        <f t="shared" si="2"/>
        <v>776948.75044141803</v>
      </c>
      <c r="H24" s="26">
        <f t="shared" si="3"/>
        <v>176948.75044141803</v>
      </c>
      <c r="I24" s="26">
        <f t="shared" si="5"/>
        <v>10583.965319219744</v>
      </c>
      <c r="J24" s="26">
        <f t="shared" si="4"/>
        <v>162450</v>
      </c>
      <c r="K24" s="2">
        <f t="shared" si="0"/>
        <v>14498.750441418029</v>
      </c>
    </row>
    <row r="25" spans="5:11" x14ac:dyDescent="0.25">
      <c r="E25">
        <v>1.9E-2</v>
      </c>
      <c r="F25" s="2">
        <f t="shared" si="1"/>
        <v>2187.8331719250409</v>
      </c>
      <c r="G25" s="2">
        <f t="shared" si="2"/>
        <v>787619.94189301471</v>
      </c>
      <c r="H25" s="26">
        <f t="shared" si="3"/>
        <v>187619.94189301471</v>
      </c>
      <c r="I25" s="26">
        <f t="shared" si="5"/>
        <v>10671.191451596678</v>
      </c>
      <c r="J25" s="26">
        <f t="shared" si="4"/>
        <v>171475</v>
      </c>
      <c r="K25" s="2">
        <f t="shared" si="0"/>
        <v>16144.941893014708</v>
      </c>
    </row>
    <row r="26" spans="5:11" x14ac:dyDescent="0.25">
      <c r="E26">
        <v>0.02</v>
      </c>
      <c r="F26" s="2">
        <f t="shared" si="1"/>
        <v>2217.7168361329232</v>
      </c>
      <c r="G26" s="2">
        <f t="shared" si="2"/>
        <v>798378.06100785232</v>
      </c>
      <c r="H26" s="26">
        <f t="shared" si="3"/>
        <v>198378.06100785232</v>
      </c>
      <c r="I26" s="26">
        <f t="shared" si="5"/>
        <v>10758.119114837609</v>
      </c>
      <c r="J26" s="26">
        <f t="shared" si="4"/>
        <v>180500</v>
      </c>
      <c r="K26" s="2">
        <f t="shared" si="0"/>
        <v>17878.061007852317</v>
      </c>
    </row>
    <row r="27" spans="5:11" x14ac:dyDescent="0.25">
      <c r="E27">
        <v>2.1000000000000001E-2</v>
      </c>
      <c r="F27" s="2">
        <f t="shared" si="1"/>
        <v>2247.8410975154943</v>
      </c>
      <c r="G27" s="2">
        <f t="shared" si="2"/>
        <v>809222.79510557791</v>
      </c>
      <c r="H27" s="26">
        <f t="shared" si="3"/>
        <v>209222.79510557791</v>
      </c>
      <c r="I27" s="26">
        <f t="shared" si="5"/>
        <v>10844.734097725595</v>
      </c>
      <c r="J27" s="26">
        <f t="shared" si="4"/>
        <v>189525</v>
      </c>
      <c r="K27" s="2">
        <f t="shared" si="0"/>
        <v>19697.795105577912</v>
      </c>
    </row>
    <row r="28" spans="5:11" x14ac:dyDescent="0.25">
      <c r="E28">
        <v>2.1999999999999999E-2</v>
      </c>
      <c r="F28" s="2">
        <f t="shared" si="1"/>
        <v>2278.2050485816403</v>
      </c>
      <c r="G28" s="2">
        <f t="shared" si="2"/>
        <v>820153.81748939049</v>
      </c>
      <c r="H28" s="26">
        <f t="shared" si="3"/>
        <v>220153.81748939049</v>
      </c>
      <c r="I28" s="26">
        <f t="shared" si="5"/>
        <v>10931.022383812582</v>
      </c>
      <c r="J28" s="26">
        <f t="shared" si="4"/>
        <v>198550</v>
      </c>
      <c r="K28" s="2">
        <f t="shared" si="0"/>
        <v>21603.817489390494</v>
      </c>
    </row>
    <row r="29" spans="5:11" x14ac:dyDescent="0.25">
      <c r="E29">
        <v>2.3E-2</v>
      </c>
      <c r="F29" s="2">
        <f t="shared" si="1"/>
        <v>2308.8077434680663</v>
      </c>
      <c r="G29" s="2">
        <f t="shared" si="2"/>
        <v>831170.7876485039</v>
      </c>
      <c r="H29" s="26">
        <f t="shared" si="3"/>
        <v>231170.7876485039</v>
      </c>
      <c r="I29" s="26">
        <f t="shared" si="5"/>
        <v>11016.970159113407</v>
      </c>
      <c r="J29" s="26">
        <f t="shared" si="4"/>
        <v>207575</v>
      </c>
      <c r="K29" s="2">
        <f t="shared" si="0"/>
        <v>23595.787648503901</v>
      </c>
    </row>
    <row r="30" spans="5:11" x14ac:dyDescent="0.25">
      <c r="E30">
        <v>2.4E-2</v>
      </c>
      <c r="F30" s="2">
        <f t="shared" si="1"/>
        <v>2339.6481985224145</v>
      </c>
      <c r="G30" s="2">
        <f t="shared" si="2"/>
        <v>842273.35146806925</v>
      </c>
      <c r="H30" s="26">
        <f t="shared" si="3"/>
        <v>242273.35146806925</v>
      </c>
      <c r="I30" s="26">
        <f t="shared" si="5"/>
        <v>11102.563819565345</v>
      </c>
      <c r="J30" s="26">
        <f t="shared" si="4"/>
        <v>216600</v>
      </c>
      <c r="K30" s="2">
        <f t="shared" si="0"/>
        <v>25673.351468069246</v>
      </c>
    </row>
    <row r="31" spans="5:11" x14ac:dyDescent="0.25">
      <c r="E31">
        <v>2.5000000000000001E-2</v>
      </c>
      <c r="F31" s="2">
        <f t="shared" si="1"/>
        <v>2370.7253929063918</v>
      </c>
      <c r="G31" s="2">
        <f t="shared" si="2"/>
        <v>853461.14144630102</v>
      </c>
      <c r="H31" s="26">
        <f t="shared" si="3"/>
        <v>253461.14144630102</v>
      </c>
      <c r="I31" s="26">
        <f t="shared" si="5"/>
        <v>11187.789978231769</v>
      </c>
      <c r="J31" s="26">
        <f t="shared" si="4"/>
        <v>225625</v>
      </c>
      <c r="K31" s="2">
        <f t="shared" si="0"/>
        <v>27836.141446301015</v>
      </c>
    </row>
    <row r="32" spans="5:11" x14ac:dyDescent="0.25">
      <c r="E32">
        <v>2.5999999999999999E-2</v>
      </c>
      <c r="F32" s="2">
        <f t="shared" si="1"/>
        <v>2402.0382692182102</v>
      </c>
      <c r="G32" s="2">
        <f t="shared" si="2"/>
        <v>864733.77691855561</v>
      </c>
      <c r="H32" s="26">
        <f t="shared" si="3"/>
        <v>264733.77691855561</v>
      </c>
      <c r="I32" s="26">
        <f t="shared" si="5"/>
        <v>11272.635472254595</v>
      </c>
      <c r="J32" s="26">
        <f t="shared" si="4"/>
        <v>234650</v>
      </c>
      <c r="K32" s="2">
        <f t="shared" si="0"/>
        <v>30083.77691855561</v>
      </c>
    </row>
    <row r="33" spans="5:11" x14ac:dyDescent="0.25">
      <c r="E33">
        <v>2.7E-2</v>
      </c>
      <c r="F33" s="2">
        <f t="shared" si="1"/>
        <v>2433.5857341336091</v>
      </c>
      <c r="G33" s="2">
        <f t="shared" si="2"/>
        <v>876090.86428809923</v>
      </c>
      <c r="H33" s="26">
        <f t="shared" si="3"/>
        <v>276090.86428809923</v>
      </c>
      <c r="I33" s="26">
        <f t="shared" si="5"/>
        <v>11357.087369543617</v>
      </c>
      <c r="J33" s="26">
        <f t="shared" si="4"/>
        <v>243675</v>
      </c>
      <c r="K33" s="2">
        <f t="shared" si="0"/>
        <v>32415.864288099227</v>
      </c>
    </row>
    <row r="34" spans="5:11" x14ac:dyDescent="0.25">
      <c r="E34">
        <v>2.8000000000000001E-2</v>
      </c>
      <c r="F34" s="2">
        <f t="shared" si="1"/>
        <v>2465.3666590647281</v>
      </c>
      <c r="G34" s="2">
        <f t="shared" si="2"/>
        <v>887531.9972633021</v>
      </c>
      <c r="H34" s="26">
        <f t="shared" si="3"/>
        <v>287531.9972633021</v>
      </c>
      <c r="I34" s="26">
        <f t="shared" si="5"/>
        <v>11441.132975202869</v>
      </c>
      <c r="J34" s="26">
        <f t="shared" si="4"/>
        <v>252700</v>
      </c>
      <c r="K34" s="2">
        <f t="shared" si="0"/>
        <v>34831.997263302095</v>
      </c>
    </row>
    <row r="35" spans="5:11" x14ac:dyDescent="0.25">
      <c r="E35">
        <v>2.9000000000000001E-2</v>
      </c>
      <c r="F35" s="2">
        <f t="shared" si="1"/>
        <v>2497.379880836058</v>
      </c>
      <c r="G35" s="2">
        <f t="shared" si="2"/>
        <v>899056.75710098085</v>
      </c>
      <c r="H35" s="26">
        <f t="shared" si="3"/>
        <v>299056.75710098085</v>
      </c>
      <c r="I35" s="26">
        <f t="shared" si="5"/>
        <v>11524.75983767875</v>
      </c>
      <c r="J35" s="26">
        <f t="shared" si="4"/>
        <v>261725</v>
      </c>
      <c r="K35" s="2">
        <f t="shared" si="0"/>
        <v>37331.757100980845</v>
      </c>
    </row>
    <row r="36" spans="5:11" x14ac:dyDescent="0.25">
      <c r="E36">
        <v>0.03</v>
      </c>
      <c r="F36" s="2">
        <f t="shared" si="1"/>
        <v>2529.6242023767027</v>
      </c>
      <c r="G36" s="2">
        <f t="shared" si="2"/>
        <v>910664.71285561298</v>
      </c>
      <c r="H36" s="26">
        <f t="shared" si="3"/>
        <v>310664.71285561298</v>
      </c>
      <c r="I36" s="26">
        <f t="shared" si="5"/>
        <v>11607.95575463213</v>
      </c>
      <c r="J36" s="26">
        <f t="shared" si="4"/>
        <v>270750</v>
      </c>
      <c r="K36" s="2">
        <f t="shared" si="0"/>
        <v>39914.712855612976</v>
      </c>
    </row>
    <row r="37" spans="5:11" x14ac:dyDescent="0.25">
      <c r="E37">
        <v>3.1E-2</v>
      </c>
      <c r="F37" s="2">
        <f t="shared" si="1"/>
        <v>2562.0983934281794</v>
      </c>
      <c r="G37" s="2">
        <f t="shared" si="2"/>
        <v>922355.42163414462</v>
      </c>
      <c r="H37" s="26">
        <f t="shared" si="3"/>
        <v>322355.42163414462</v>
      </c>
      <c r="I37" s="26">
        <f t="shared" si="5"/>
        <v>11690.70877853164</v>
      </c>
      <c r="J37" s="26">
        <f t="shared" si="4"/>
        <v>279775</v>
      </c>
      <c r="K37" s="2">
        <f t="shared" si="0"/>
        <v>42580.421634144615</v>
      </c>
    </row>
    <row r="38" spans="5:11" x14ac:dyDescent="0.25">
      <c r="E38">
        <v>3.2000000000000001E-2</v>
      </c>
      <c r="F38" s="2">
        <f t="shared" si="1"/>
        <v>2594.8011912669558</v>
      </c>
      <c r="G38" s="2">
        <f t="shared" si="2"/>
        <v>934128.42885610415</v>
      </c>
      <c r="H38" s="26">
        <f t="shared" si="3"/>
        <v>334128.42885610415</v>
      </c>
      <c r="I38" s="26">
        <f t="shared" si="5"/>
        <v>11773.007221959531</v>
      </c>
      <c r="J38" s="26">
        <f t="shared" si="4"/>
        <v>288800</v>
      </c>
      <c r="K38" s="2">
        <f t="shared" si="0"/>
        <v>45328.428856104147</v>
      </c>
    </row>
    <row r="39" spans="5:11" x14ac:dyDescent="0.25">
      <c r="E39">
        <v>3.3000000000000002E-2</v>
      </c>
      <c r="F39" s="2">
        <f t="shared" si="1"/>
        <v>2627.7313014409201</v>
      </c>
      <c r="G39" s="2">
        <f t="shared" si="2"/>
        <v>945983.26851873123</v>
      </c>
      <c r="H39" s="26">
        <f t="shared" si="3"/>
        <v>345983.26851873123</v>
      </c>
      <c r="I39" s="26">
        <f t="shared" si="5"/>
        <v>11854.839662627084</v>
      </c>
      <c r="J39" s="26">
        <f t="shared" si="4"/>
        <v>297825</v>
      </c>
      <c r="K39" s="2">
        <f t="shared" si="0"/>
        <v>48158.268518731231</v>
      </c>
    </row>
    <row r="40" spans="5:11" x14ac:dyDescent="0.25">
      <c r="E40">
        <v>3.4000000000000002E-2</v>
      </c>
      <c r="F40" s="2">
        <f t="shared" si="1"/>
        <v>2660.8873985189753</v>
      </c>
      <c r="G40" s="2">
        <f t="shared" si="2"/>
        <v>957919.46346683113</v>
      </c>
      <c r="H40" s="26">
        <f t="shared" si="3"/>
        <v>357919.46346683113</v>
      </c>
      <c r="I40" s="26">
        <f t="shared" si="5"/>
        <v>11936.194948099903</v>
      </c>
      <c r="J40" s="26">
        <f t="shared" si="4"/>
        <v>306850</v>
      </c>
      <c r="K40" s="2">
        <f t="shared" si="0"/>
        <v>51069.463466831134</v>
      </c>
    </row>
    <row r="41" spans="5:11" x14ac:dyDescent="0.25">
      <c r="E41">
        <v>3.5000000000000003E-2</v>
      </c>
      <c r="F41" s="2">
        <f t="shared" si="1"/>
        <v>2694.2681268529468</v>
      </c>
      <c r="G41" s="2">
        <f t="shared" si="2"/>
        <v>969936.52566706087</v>
      </c>
      <c r="H41" s="26">
        <f t="shared" si="3"/>
        <v>369936.52566706087</v>
      </c>
      <c r="I41" s="26">
        <f t="shared" si="5"/>
        <v>12017.062200229731</v>
      </c>
      <c r="J41" s="26">
        <f t="shared" si="4"/>
        <v>315875.00000000006</v>
      </c>
      <c r="K41" s="2">
        <f t="shared" si="0"/>
        <v>54061.525667060807</v>
      </c>
    </row>
    <row r="42" spans="5:11" x14ac:dyDescent="0.25">
      <c r="E42">
        <v>3.5999999999999997E-2</v>
      </c>
      <c r="F42" s="2">
        <f t="shared" si="1"/>
        <v>2727.8721013509735</v>
      </c>
      <c r="G42" s="2">
        <f t="shared" si="2"/>
        <v>982033.95648635051</v>
      </c>
      <c r="H42" s="26">
        <f t="shared" si="3"/>
        <v>382033.95648635051</v>
      </c>
      <c r="I42" s="26">
        <f t="shared" si="5"/>
        <v>12097.430819289642</v>
      </c>
      <c r="J42" s="26">
        <f t="shared" si="4"/>
        <v>324900</v>
      </c>
      <c r="K42" s="2">
        <f t="shared" si="0"/>
        <v>57133.956486350507</v>
      </c>
    </row>
    <row r="43" spans="5:11" x14ac:dyDescent="0.25">
      <c r="E43">
        <v>3.6999999999999998E-2</v>
      </c>
      <c r="F43" s="2">
        <f t="shared" si="1"/>
        <v>2761.6979082615526</v>
      </c>
      <c r="G43" s="2">
        <f t="shared" si="2"/>
        <v>994211.24697415892</v>
      </c>
      <c r="H43" s="26">
        <f t="shared" si="3"/>
        <v>394211.24697415892</v>
      </c>
      <c r="I43" s="26">
        <f t="shared" si="5"/>
        <v>12177.290487808408</v>
      </c>
      <c r="J43" s="26">
        <f t="shared" si="4"/>
        <v>333925</v>
      </c>
      <c r="K43" s="2">
        <f t="shared" si="0"/>
        <v>60286.246974158916</v>
      </c>
    </row>
    <row r="44" spans="5:11" x14ac:dyDescent="0.25">
      <c r="E44">
        <v>3.7999999999999999E-2</v>
      </c>
      <c r="F44" s="2">
        <f t="shared" si="1"/>
        <v>2795.7441059674288</v>
      </c>
      <c r="G44" s="2">
        <f t="shared" si="2"/>
        <v>1006467.8781482744</v>
      </c>
      <c r="H44" s="26">
        <f t="shared" si="3"/>
        <v>406467.87814827438</v>
      </c>
      <c r="I44" s="26">
        <f t="shared" si="5"/>
        <v>12256.631174115464</v>
      </c>
      <c r="J44" s="26">
        <f t="shared" si="4"/>
        <v>342950</v>
      </c>
      <c r="K44" s="2">
        <f t="shared" si="0"/>
        <v>63517.87814827438</v>
      </c>
    </row>
    <row r="45" spans="5:11" x14ac:dyDescent="0.25">
      <c r="E45">
        <v>3.9E-2</v>
      </c>
      <c r="F45" s="2">
        <f t="shared" si="1"/>
        <v>2830.0092257884762</v>
      </c>
      <c r="G45" s="2">
        <f t="shared" si="2"/>
        <v>1018803.3212838514</v>
      </c>
      <c r="H45" s="26">
        <f t="shared" si="3"/>
        <v>418803.3212838514</v>
      </c>
      <c r="I45" s="26">
        <f t="shared" si="5"/>
        <v>12335.443135577021</v>
      </c>
      <c r="J45" s="26">
        <f t="shared" si="4"/>
        <v>351975</v>
      </c>
      <c r="K45" s="2">
        <f t="shared" si="0"/>
        <v>66828.321283851401</v>
      </c>
    </row>
    <row r="46" spans="5:11" x14ac:dyDescent="0.25">
      <c r="E46">
        <v>0.04</v>
      </c>
      <c r="F46" s="2">
        <f t="shared" si="1"/>
        <v>2864.4917727927573</v>
      </c>
      <c r="G46" s="2">
        <f t="shared" si="2"/>
        <v>1031217.0382053927</v>
      </c>
      <c r="H46" s="26">
        <f t="shared" si="3"/>
        <v>431217.03820539266</v>
      </c>
      <c r="I46" s="26">
        <f t="shared" si="5"/>
        <v>12413.716921541258</v>
      </c>
      <c r="J46" s="26">
        <f t="shared" si="4"/>
        <v>361000</v>
      </c>
      <c r="K46" s="2">
        <f t="shared" si="0"/>
        <v>70217.038205392659</v>
      </c>
    </row>
    <row r="47" spans="5:11" x14ac:dyDescent="0.25">
      <c r="E47">
        <v>4.1000000000000002E-2</v>
      </c>
      <c r="F47" s="2">
        <f t="shared" si="1"/>
        <v>2899.1902266149264</v>
      </c>
      <c r="G47" s="2">
        <f t="shared" si="2"/>
        <v>1043708.4815813735</v>
      </c>
      <c r="H47" s="26">
        <f t="shared" si="3"/>
        <v>443708.48158137349</v>
      </c>
      <c r="I47" s="26">
        <f t="shared" si="5"/>
        <v>12491.443375980831</v>
      </c>
      <c r="J47" s="26">
        <f t="shared" si="4"/>
        <v>370025</v>
      </c>
      <c r="K47" s="2">
        <f t="shared" si="0"/>
        <v>73683.481581373489</v>
      </c>
    </row>
    <row r="48" spans="5:11" x14ac:dyDescent="0.25">
      <c r="E48">
        <v>4.2000000000000003E-2</v>
      </c>
      <c r="F48" s="2">
        <f t="shared" si="1"/>
        <v>2934.1030422811568</v>
      </c>
      <c r="G48" s="2">
        <f t="shared" si="2"/>
        <v>1056277.0952212166</v>
      </c>
      <c r="H48" s="26">
        <f t="shared" si="3"/>
        <v>456277.09522121656</v>
      </c>
      <c r="I48" s="26">
        <f t="shared" si="5"/>
        <v>12568.613639843068</v>
      </c>
      <c r="J48" s="26">
        <f t="shared" si="4"/>
        <v>379050</v>
      </c>
      <c r="K48" s="2">
        <f t="shared" si="0"/>
        <v>77227.095221216558</v>
      </c>
    </row>
    <row r="49" spans="5:11" x14ac:dyDescent="0.25">
      <c r="E49">
        <v>4.2999999999999997E-2</v>
      </c>
      <c r="F49" s="2">
        <f t="shared" si="1"/>
        <v>2969.2286510397689</v>
      </c>
      <c r="G49" s="2">
        <f t="shared" si="2"/>
        <v>1068922.3143743167</v>
      </c>
      <c r="H49" s="26">
        <f t="shared" si="3"/>
        <v>468922.31437431672</v>
      </c>
      <c r="I49" s="26">
        <f t="shared" si="5"/>
        <v>12645.219153100159</v>
      </c>
      <c r="J49" s="26">
        <f t="shared" si="4"/>
        <v>388074.99999999994</v>
      </c>
      <c r="K49" s="2">
        <f t="shared" si="0"/>
        <v>80847.314374316775</v>
      </c>
    </row>
    <row r="50" spans="5:11" x14ac:dyDescent="0.25">
      <c r="E50">
        <v>4.3999999999999997E-2</v>
      </c>
      <c r="F50" s="2">
        <f t="shared" si="1"/>
        <v>3004.5654611967375</v>
      </c>
      <c r="G50" s="2">
        <f t="shared" si="2"/>
        <v>1081643.5660308255</v>
      </c>
      <c r="H50" s="26">
        <f t="shared" si="3"/>
        <v>481643.56603082549</v>
      </c>
      <c r="I50" s="26">
        <f t="shared" si="5"/>
        <v>12721.251656508772</v>
      </c>
      <c r="J50" s="26">
        <f t="shared" si="4"/>
        <v>397100</v>
      </c>
      <c r="K50" s="2">
        <f t="shared" si="0"/>
        <v>84543.566030825488</v>
      </c>
    </row>
    <row r="51" spans="5:11" x14ac:dyDescent="0.25">
      <c r="E51">
        <v>4.4999999999999998E-2</v>
      </c>
      <c r="F51" s="2">
        <f t="shared" si="1"/>
        <v>3040.1118589552839</v>
      </c>
      <c r="G51" s="2">
        <f t="shared" si="2"/>
        <v>1094440.2692239021</v>
      </c>
      <c r="H51" s="26">
        <f t="shared" si="3"/>
        <v>494440.26922390214</v>
      </c>
      <c r="I51" s="26">
        <f t="shared" si="5"/>
        <v>12796.703193076653</v>
      </c>
      <c r="J51" s="26">
        <f t="shared" si="4"/>
        <v>406125</v>
      </c>
      <c r="K51" s="2">
        <f t="shared" si="0"/>
        <v>88315.269223902142</v>
      </c>
    </row>
    <row r="52" spans="5:11" x14ac:dyDescent="0.25">
      <c r="E52">
        <v>4.5999999999999999E-2</v>
      </c>
      <c r="F52" s="2">
        <f t="shared" si="1"/>
        <v>3075.8662092587379</v>
      </c>
      <c r="G52" s="2">
        <f t="shared" si="2"/>
        <v>1107311.8353331457</v>
      </c>
      <c r="H52" s="26">
        <f t="shared" si="3"/>
        <v>507311.83533314569</v>
      </c>
      <c r="I52" s="26">
        <f t="shared" si="5"/>
        <v>12871.566109243548</v>
      </c>
      <c r="J52" s="26">
        <f t="shared" si="4"/>
        <v>415150</v>
      </c>
      <c r="K52" s="2">
        <f t="shared" si="0"/>
        <v>92161.835333145689</v>
      </c>
    </row>
    <row r="53" spans="5:11" x14ac:dyDescent="0.25">
      <c r="E53">
        <v>4.7E-2</v>
      </c>
      <c r="F53" s="2">
        <f t="shared" si="1"/>
        <v>3111.8268566358843</v>
      </c>
      <c r="G53" s="2">
        <f t="shared" si="2"/>
        <v>1120257.6683889183</v>
      </c>
      <c r="H53" s="26">
        <f t="shared" si="3"/>
        <v>520257.66838891828</v>
      </c>
      <c r="I53" s="26">
        <f t="shared" si="5"/>
        <v>12945.833055772586</v>
      </c>
      <c r="J53" s="26">
        <f t="shared" si="4"/>
        <v>424175</v>
      </c>
      <c r="K53" s="2">
        <f t="shared" si="0"/>
        <v>96082.668388918275</v>
      </c>
    </row>
    <row r="54" spans="5:11" x14ac:dyDescent="0.25">
      <c r="E54">
        <v>4.8000000000000001E-2</v>
      </c>
      <c r="F54" s="2">
        <f t="shared" si="1"/>
        <v>3147.9921260480082</v>
      </c>
      <c r="G54" s="2">
        <f t="shared" si="2"/>
        <v>1133277.165377283</v>
      </c>
      <c r="H54" s="26">
        <f t="shared" si="3"/>
        <v>533277.165377283</v>
      </c>
      <c r="I54" s="26">
        <f t="shared" si="5"/>
        <v>13019.496988364728</v>
      </c>
      <c r="J54" s="26">
        <f t="shared" si="4"/>
        <v>433200</v>
      </c>
      <c r="K54" s="2">
        <f t="shared" si="0"/>
        <v>100077.165377283</v>
      </c>
    </row>
    <row r="55" spans="5:11" x14ac:dyDescent="0.25">
      <c r="E55">
        <v>4.9000000000000002E-2</v>
      </c>
      <c r="F55" s="2">
        <f t="shared" si="1"/>
        <v>3184.3603237368661</v>
      </c>
      <c r="G55" s="2">
        <f t="shared" si="2"/>
        <v>1146369.7165452717</v>
      </c>
      <c r="H55" s="26">
        <f t="shared" si="3"/>
        <v>546369.71654527169</v>
      </c>
      <c r="I55" s="26">
        <f t="shared" si="5"/>
        <v>13092.551167988684</v>
      </c>
      <c r="J55" s="26">
        <f t="shared" si="4"/>
        <v>442225</v>
      </c>
      <c r="K55" s="2">
        <f t="shared" si="0"/>
        <v>104144.71654527169</v>
      </c>
    </row>
    <row r="56" spans="5:11" x14ac:dyDescent="0.25">
      <c r="E56">
        <v>0.05</v>
      </c>
      <c r="F56" s="2">
        <f t="shared" si="1"/>
        <v>3220.9297380728344</v>
      </c>
      <c r="G56" s="2">
        <f t="shared" si="2"/>
        <v>1159534.7057062204</v>
      </c>
      <c r="H56" s="26">
        <f t="shared" si="3"/>
        <v>559534.70570622035</v>
      </c>
      <c r="I56" s="26">
        <f t="shared" si="5"/>
        <v>13164.989160948666</v>
      </c>
      <c r="J56" s="26">
        <f t="shared" si="4"/>
        <v>451250</v>
      </c>
      <c r="K56" s="2">
        <f t="shared" si="0"/>
        <v>108284.70570622035</v>
      </c>
    </row>
    <row r="57" spans="5:11" x14ac:dyDescent="0.25">
      <c r="E57">
        <v>5.0999999999999997E-2</v>
      </c>
      <c r="F57" s="2">
        <f t="shared" si="1"/>
        <v>3257.6986404024592</v>
      </c>
      <c r="G57" s="2">
        <f t="shared" si="2"/>
        <v>1172771.5105448854</v>
      </c>
      <c r="H57" s="26">
        <f t="shared" si="3"/>
        <v>572771.51054488542</v>
      </c>
      <c r="I57" s="26">
        <f t="shared" si="5"/>
        <v>13236.804838665063</v>
      </c>
      <c r="J57" s="26">
        <f t="shared" si="4"/>
        <v>460274.99999999994</v>
      </c>
      <c r="K57" s="2">
        <f t="shared" si="0"/>
        <v>112496.51054488547</v>
      </c>
    </row>
    <row r="58" spans="5:11" x14ac:dyDescent="0.25">
      <c r="E58">
        <v>5.1999999999999998E-2</v>
      </c>
      <c r="F58" s="2">
        <f t="shared" si="1"/>
        <v>3294.6652858947173</v>
      </c>
      <c r="G58" s="2">
        <f t="shared" si="2"/>
        <v>1186079.5029220982</v>
      </c>
      <c r="H58" s="26">
        <f t="shared" si="3"/>
        <v>586079.50292209815</v>
      </c>
      <c r="I58" s="26">
        <f t="shared" si="5"/>
        <v>13307.992377212737</v>
      </c>
      <c r="J58" s="26">
        <f t="shared" si="4"/>
        <v>469300</v>
      </c>
      <c r="K58" s="2">
        <f t="shared" si="0"/>
        <v>116779.50292209815</v>
      </c>
    </row>
    <row r="59" spans="5:11" x14ac:dyDescent="0.25">
      <c r="E59">
        <v>5.2999999999999999E-2</v>
      </c>
      <c r="F59" s="2">
        <f t="shared" si="1"/>
        <v>3331.8279143852174</v>
      </c>
      <c r="G59" s="2">
        <f t="shared" si="2"/>
        <v>1199458.0491786783</v>
      </c>
      <c r="H59" s="26">
        <f t="shared" si="3"/>
        <v>599458.04917867831</v>
      </c>
      <c r="I59" s="26">
        <f t="shared" si="5"/>
        <v>13378.546256580157</v>
      </c>
      <c r="J59" s="26">
        <f t="shared" si="4"/>
        <v>478325</v>
      </c>
      <c r="K59" s="2">
        <f t="shared" si="0"/>
        <v>121133.04917867831</v>
      </c>
    </row>
    <row r="60" spans="5:11" x14ac:dyDescent="0.25">
      <c r="E60">
        <v>5.3999999999999999E-2</v>
      </c>
      <c r="F60" s="2">
        <f t="shared" si="1"/>
        <v>3369.184751217686</v>
      </c>
      <c r="G60" s="2">
        <f t="shared" si="2"/>
        <v>1212906.510438367</v>
      </c>
      <c r="H60" s="26">
        <f t="shared" si="3"/>
        <v>612906.51043836703</v>
      </c>
      <c r="I60" s="26">
        <f t="shared" si="5"/>
        <v>13448.461259688716</v>
      </c>
      <c r="J60" s="26">
        <f t="shared" si="4"/>
        <v>487350</v>
      </c>
      <c r="K60" s="2">
        <f t="shared" si="0"/>
        <v>125556.51043836703</v>
      </c>
    </row>
    <row r="61" spans="5:11" x14ac:dyDescent="0.25">
      <c r="E61">
        <v>5.5E-2</v>
      </c>
      <c r="F61" s="2">
        <f t="shared" si="1"/>
        <v>3406.7340080820172</v>
      </c>
      <c r="G61" s="2">
        <f t="shared" si="2"/>
        <v>1226424.2429095262</v>
      </c>
      <c r="H61" s="26">
        <f t="shared" si="3"/>
        <v>626424.24290952622</v>
      </c>
      <c r="I61" s="26">
        <f t="shared" si="5"/>
        <v>13517.732471159194</v>
      </c>
      <c r="J61" s="26">
        <f t="shared" si="4"/>
        <v>496375</v>
      </c>
      <c r="K61" s="2">
        <f t="shared" si="0"/>
        <v>130049.24290952622</v>
      </c>
    </row>
    <row r="62" spans="5:11" x14ac:dyDescent="0.25">
      <c r="E62">
        <v>5.6000000000000001E-2</v>
      </c>
      <c r="F62" s="2">
        <f t="shared" si="1"/>
        <v>3444.4738838482313</v>
      </c>
      <c r="G62" s="2">
        <f t="shared" si="2"/>
        <v>1240010.5981853632</v>
      </c>
      <c r="H62" s="26">
        <f t="shared" si="3"/>
        <v>640010.59818536323</v>
      </c>
      <c r="I62" s="26">
        <f t="shared" si="5"/>
        <v>13586.355275837006</v>
      </c>
      <c r="J62" s="26">
        <f t="shared" si="4"/>
        <v>505400</v>
      </c>
      <c r="K62" s="2">
        <f t="shared" si="0"/>
        <v>134610.59818536323</v>
      </c>
    </row>
    <row r="63" spans="5:11" x14ac:dyDescent="0.25">
      <c r="E63">
        <v>5.7000000000000002E-2</v>
      </c>
      <c r="F63" s="2">
        <f t="shared" si="1"/>
        <v>3482.4025653956764</v>
      </c>
      <c r="G63" s="2">
        <f t="shared" si="2"/>
        <v>1253664.9235424434</v>
      </c>
      <c r="H63" s="26">
        <f t="shared" si="3"/>
        <v>653664.92354244343</v>
      </c>
      <c r="I63" s="26">
        <f t="shared" si="5"/>
        <v>13654.325357080204</v>
      </c>
      <c r="J63" s="26">
        <f t="shared" si="4"/>
        <v>514425</v>
      </c>
      <c r="K63" s="2">
        <f t="shared" si="0"/>
        <v>139239.92354244343</v>
      </c>
    </row>
    <row r="64" spans="5:11" x14ac:dyDescent="0.25">
      <c r="E64">
        <v>5.8000000000000003E-2</v>
      </c>
      <c r="F64" s="2">
        <f t="shared" si="1"/>
        <v>3520.518228436857</v>
      </c>
      <c r="G64" s="2">
        <f t="shared" si="2"/>
        <v>1267386.5622372685</v>
      </c>
      <c r="H64" s="26">
        <f t="shared" si="3"/>
        <v>667386.56223726855</v>
      </c>
      <c r="I64" s="26">
        <f t="shared" si="5"/>
        <v>13721.638694825117</v>
      </c>
      <c r="J64" s="26">
        <f t="shared" si="4"/>
        <v>523450</v>
      </c>
      <c r="K64" s="2">
        <f t="shared" si="0"/>
        <v>143936.56223726855</v>
      </c>
    </row>
    <row r="65" spans="5:11" x14ac:dyDescent="0.25">
      <c r="E65">
        <v>5.8999999999999997E-2</v>
      </c>
      <c r="F65" s="2">
        <f t="shared" si="1"/>
        <v>3558.8190383352471</v>
      </c>
      <c r="G65" s="2">
        <f t="shared" si="2"/>
        <v>1281174.8538006889</v>
      </c>
      <c r="H65" s="26">
        <f t="shared" si="3"/>
        <v>681174.85380068887</v>
      </c>
      <c r="I65" s="26">
        <f t="shared" si="5"/>
        <v>13788.291563420324</v>
      </c>
      <c r="J65" s="26">
        <f t="shared" si="4"/>
        <v>532475</v>
      </c>
      <c r="K65" s="2">
        <f t="shared" si="0"/>
        <v>148699.85380068887</v>
      </c>
    </row>
    <row r="66" spans="5:11" x14ac:dyDescent="0.25">
      <c r="E66">
        <v>0.06</v>
      </c>
      <c r="F66" s="2">
        <f t="shared" si="1"/>
        <v>3597.3031509165139</v>
      </c>
      <c r="G66" s="2">
        <f t="shared" si="2"/>
        <v>1295029.1343299451</v>
      </c>
      <c r="H66" s="26">
        <f t="shared" si="3"/>
        <v>695029.13432994508</v>
      </c>
      <c r="I66" s="26">
        <f t="shared" si="5"/>
        <v>13854.280529256212</v>
      </c>
      <c r="J66" s="26">
        <f t="shared" si="4"/>
        <v>541500</v>
      </c>
      <c r="K66" s="2">
        <f t="shared" si="0"/>
        <v>153529.13432994508</v>
      </c>
    </row>
    <row r="67" spans="5:11" x14ac:dyDescent="0.25">
      <c r="E67">
        <v>6.0999999999999999E-2</v>
      </c>
      <c r="F67" s="2">
        <f t="shared" si="1"/>
        <v>3635.9687132725553</v>
      </c>
      <c r="G67" s="2">
        <f t="shared" si="2"/>
        <v>1308948.7367781198</v>
      </c>
      <c r="H67" s="26">
        <f t="shared" si="3"/>
        <v>708948.73677811981</v>
      </c>
      <c r="I67" s="26">
        <f t="shared" si="5"/>
        <v>13919.60244817473</v>
      </c>
      <c r="J67" s="26">
        <f t="shared" si="4"/>
        <v>550525</v>
      </c>
      <c r="K67" s="2">
        <f t="shared" si="0"/>
        <v>158423.73677811981</v>
      </c>
    </row>
    <row r="68" spans="5:11" x14ac:dyDescent="0.25">
      <c r="E68">
        <v>6.2E-2</v>
      </c>
      <c r="F68" s="2">
        <f t="shared" si="1"/>
        <v>3674.8138645578042</v>
      </c>
      <c r="G68" s="2">
        <f t="shared" si="2"/>
        <v>1322932.9912408094</v>
      </c>
      <c r="H68" s="26">
        <f t="shared" si="3"/>
        <v>722932.99124080944</v>
      </c>
      <c r="I68" s="26">
        <f t="shared" si="5"/>
        <v>13984.254462689627</v>
      </c>
      <c r="J68" s="26">
        <f t="shared" si="4"/>
        <v>559550</v>
      </c>
      <c r="K68" s="2">
        <f t="shared" si="0"/>
        <v>163382.99124080944</v>
      </c>
    </row>
    <row r="69" spans="5:11" x14ac:dyDescent="0.25">
      <c r="E69">
        <v>6.3E-2</v>
      </c>
      <c r="F69" s="2">
        <f t="shared" si="1"/>
        <v>3713.8367367772621</v>
      </c>
      <c r="G69" s="2">
        <f t="shared" si="2"/>
        <v>1336981.2252398143</v>
      </c>
      <c r="H69" s="26">
        <f t="shared" si="3"/>
        <v>736981.22523981426</v>
      </c>
      <c r="I69" s="26">
        <f t="shared" si="5"/>
        <v>14048.23399900482</v>
      </c>
      <c r="J69" s="26">
        <f t="shared" si="4"/>
        <v>568575</v>
      </c>
      <c r="K69" s="2">
        <f t="shared" si="0"/>
        <v>168406.22523981426</v>
      </c>
    </row>
    <row r="70" spans="5:11" x14ac:dyDescent="0.25">
      <c r="E70">
        <v>6.4000000000000001E-2</v>
      </c>
      <c r="F70" s="2">
        <f t="shared" si="1"/>
        <v>3753.0354555657332</v>
      </c>
      <c r="G70" s="2">
        <f t="shared" si="2"/>
        <v>1351092.764003664</v>
      </c>
      <c r="H70" s="26">
        <f t="shared" si="3"/>
        <v>751092.76400366402</v>
      </c>
      <c r="I70" s="26">
        <f t="shared" si="5"/>
        <v>14111.538763849763</v>
      </c>
      <c r="J70" s="26">
        <f t="shared" si="4"/>
        <v>577600</v>
      </c>
      <c r="K70" s="2">
        <f t="shared" ref="K70:K133" si="6">H70-J70</f>
        <v>173492.76400366402</v>
      </c>
    </row>
    <row r="71" spans="5:11" x14ac:dyDescent="0.25">
      <c r="E71">
        <v>6.5000000000000002E-2</v>
      </c>
      <c r="F71" s="2">
        <f t="shared" ref="F71:F134" si="7">PMT(E71/12,$C$7,-$C$6,0,0)</f>
        <v>3792.4081409577825</v>
      </c>
      <c r="G71" s="2">
        <f t="shared" ref="G71:G134" si="8">360*F71</f>
        <v>1365266.9307448016</v>
      </c>
      <c r="H71" s="26">
        <f t="shared" ref="H71:H134" si="9">360*F71-$C$6</f>
        <v>765266.93074480165</v>
      </c>
      <c r="I71" s="26">
        <f t="shared" si="5"/>
        <v>14174.166741137626</v>
      </c>
      <c r="J71" s="26">
        <f t="shared" ref="J71:J134" si="10">$C$6*E71/12*($C$7+1)/2</f>
        <v>586625</v>
      </c>
      <c r="K71" s="2">
        <f t="shared" si="6"/>
        <v>178641.93074480165</v>
      </c>
    </row>
    <row r="72" spans="5:11" x14ac:dyDescent="0.25">
      <c r="E72">
        <v>6.6000000000000003E-2</v>
      </c>
      <c r="F72" s="2">
        <f t="shared" si="7"/>
        <v>3831.9529081479213</v>
      </c>
      <c r="G72" s="2">
        <f t="shared" si="8"/>
        <v>1379503.0469332517</v>
      </c>
      <c r="H72" s="26">
        <f t="shared" si="9"/>
        <v>779503.04693325167</v>
      </c>
      <c r="I72" s="26">
        <f t="shared" si="5"/>
        <v>14236.116188450018</v>
      </c>
      <c r="J72" s="26">
        <f t="shared" si="10"/>
        <v>595650</v>
      </c>
      <c r="K72" s="2">
        <f t="shared" si="6"/>
        <v>183853.04693325167</v>
      </c>
    </row>
    <row r="73" spans="5:11" x14ac:dyDescent="0.25">
      <c r="E73">
        <v>6.7000000000000004E-2</v>
      </c>
      <c r="F73" s="2">
        <f t="shared" si="7"/>
        <v>3871.6678682405864</v>
      </c>
      <c r="G73" s="2">
        <f t="shared" si="8"/>
        <v>1393800.4325666111</v>
      </c>
      <c r="H73" s="26">
        <f t="shared" si="9"/>
        <v>793800.4325666111</v>
      </c>
      <c r="I73" s="26">
        <f t="shared" ref="I73:I136" si="11">H73-H72</f>
        <v>14297.38563335943</v>
      </c>
      <c r="J73" s="26">
        <f t="shared" si="10"/>
        <v>604675</v>
      </c>
      <c r="K73" s="2">
        <f t="shared" si="6"/>
        <v>189125.4325666111</v>
      </c>
    </row>
    <row r="74" spans="5:11" x14ac:dyDescent="0.25">
      <c r="E74">
        <v>6.8000000000000005E-2</v>
      </c>
      <c r="F74" s="2">
        <f t="shared" si="7"/>
        <v>3911.5511289894666</v>
      </c>
      <c r="G74" s="2">
        <f t="shared" si="8"/>
        <v>1408158.4064362079</v>
      </c>
      <c r="H74" s="26">
        <f t="shared" si="9"/>
        <v>808158.40643620794</v>
      </c>
      <c r="I74" s="26">
        <f t="shared" si="11"/>
        <v>14357.973869596841</v>
      </c>
      <c r="J74" s="26">
        <f t="shared" si="10"/>
        <v>613700</v>
      </c>
      <c r="K74" s="2">
        <f t="shared" si="6"/>
        <v>194458.40643620794</v>
      </c>
    </row>
    <row r="75" spans="5:11" x14ac:dyDescent="0.25">
      <c r="E75">
        <v>6.9000000000000006E-2</v>
      </c>
      <c r="F75" s="2">
        <f t="shared" si="7"/>
        <v>3951.6007955257801</v>
      </c>
      <c r="G75" s="2">
        <f t="shared" si="8"/>
        <v>1422576.2863892808</v>
      </c>
      <c r="H75" s="26">
        <f t="shared" si="9"/>
        <v>822576.28638928081</v>
      </c>
      <c r="I75" s="26">
        <f t="shared" si="11"/>
        <v>14417.879953072872</v>
      </c>
      <c r="J75" s="26">
        <f t="shared" si="10"/>
        <v>622725</v>
      </c>
      <c r="K75" s="2">
        <f t="shared" si="6"/>
        <v>199851.28638928081</v>
      </c>
    </row>
    <row r="76" spans="5:11" x14ac:dyDescent="0.25">
      <c r="E76">
        <v>7.0000000000000007E-2</v>
      </c>
      <c r="F76" s="2">
        <f t="shared" si="7"/>
        <v>3991.8149710750995</v>
      </c>
      <c r="G76" s="2">
        <f t="shared" si="8"/>
        <v>1437053.3895870359</v>
      </c>
      <c r="H76" s="26">
        <f t="shared" si="9"/>
        <v>837053.38958703587</v>
      </c>
      <c r="I76" s="26">
        <f t="shared" si="11"/>
        <v>14477.103197755059</v>
      </c>
      <c r="J76" s="26">
        <f t="shared" si="10"/>
        <v>631750.00000000012</v>
      </c>
      <c r="K76" s="2">
        <f t="shared" si="6"/>
        <v>205303.38958703575</v>
      </c>
    </row>
    <row r="77" spans="5:11" x14ac:dyDescent="0.25">
      <c r="E77">
        <v>7.0999999999999994E-2</v>
      </c>
      <c r="F77" s="2">
        <f t="shared" si="7"/>
        <v>4032.1917576623719</v>
      </c>
      <c r="G77" s="2">
        <f t="shared" si="8"/>
        <v>1451589.0327584539</v>
      </c>
      <c r="H77" s="26">
        <f t="shared" si="9"/>
        <v>851589.03275845386</v>
      </c>
      <c r="I77" s="26">
        <f t="shared" si="11"/>
        <v>14535.643171417993</v>
      </c>
      <c r="J77" s="26">
        <f t="shared" si="10"/>
        <v>640774.99999999988</v>
      </c>
      <c r="K77" s="2">
        <f t="shared" si="6"/>
        <v>210814.03275845398</v>
      </c>
    </row>
    <row r="78" spans="5:11" x14ac:dyDescent="0.25">
      <c r="E78">
        <v>7.1999999999999995E-2</v>
      </c>
      <c r="F78" s="2">
        <f t="shared" si="7"/>
        <v>4072.7292568047869</v>
      </c>
      <c r="G78" s="2">
        <f t="shared" si="8"/>
        <v>1466182.5324497232</v>
      </c>
      <c r="H78" s="26">
        <f t="shared" si="9"/>
        <v>866182.53244972322</v>
      </c>
      <c r="I78" s="26">
        <f t="shared" si="11"/>
        <v>14593.49969126936</v>
      </c>
      <c r="J78" s="26">
        <f t="shared" si="10"/>
        <v>649800</v>
      </c>
      <c r="K78" s="2">
        <f t="shared" si="6"/>
        <v>216382.53244972322</v>
      </c>
    </row>
    <row r="79" spans="5:11" x14ac:dyDescent="0.25">
      <c r="E79">
        <v>7.2999999999999995E-2</v>
      </c>
      <c r="F79" s="2">
        <f t="shared" si="7"/>
        <v>4113.425570192152</v>
      </c>
      <c r="G79" s="2">
        <f t="shared" si="8"/>
        <v>1480833.2052691747</v>
      </c>
      <c r="H79" s="26">
        <f t="shared" si="9"/>
        <v>880833.20526917465</v>
      </c>
      <c r="I79" s="26">
        <f t="shared" si="11"/>
        <v>14650.672819451429</v>
      </c>
      <c r="J79" s="26">
        <f t="shared" si="10"/>
        <v>658825</v>
      </c>
      <c r="K79" s="2">
        <f t="shared" si="6"/>
        <v>222008.20526917465</v>
      </c>
    </row>
    <row r="80" spans="5:11" x14ac:dyDescent="0.25">
      <c r="E80">
        <v>7.3999999999999996E-2</v>
      </c>
      <c r="F80" s="2">
        <f t="shared" si="7"/>
        <v>4154.2788003545102</v>
      </c>
      <c r="G80" s="2">
        <f t="shared" si="8"/>
        <v>1495540.3681276236</v>
      </c>
      <c r="H80" s="26">
        <f t="shared" si="9"/>
        <v>895540.36812762357</v>
      </c>
      <c r="I80" s="26">
        <f t="shared" si="11"/>
        <v>14707.162858448923</v>
      </c>
      <c r="J80" s="26">
        <f t="shared" si="10"/>
        <v>667850</v>
      </c>
      <c r="K80" s="2">
        <f t="shared" si="6"/>
        <v>227690.36812762357</v>
      </c>
    </row>
    <row r="81" spans="5:11" x14ac:dyDescent="0.25">
      <c r="E81">
        <v>7.4999999999999997E-2</v>
      </c>
      <c r="F81" s="2">
        <f t="shared" si="7"/>
        <v>4195.2870513166745</v>
      </c>
      <c r="G81" s="2">
        <f t="shared" si="8"/>
        <v>1510303.3384740029</v>
      </c>
      <c r="H81" s="26">
        <f t="shared" si="9"/>
        <v>910303.3384740029</v>
      </c>
      <c r="I81" s="26">
        <f t="shared" si="11"/>
        <v>14762.970346379327</v>
      </c>
      <c r="J81" s="26">
        <f t="shared" si="10"/>
        <v>676875</v>
      </c>
      <c r="K81" s="2">
        <f t="shared" si="6"/>
        <v>233428.3384740029</v>
      </c>
    </row>
    <row r="82" spans="5:11" x14ac:dyDescent="0.25">
      <c r="E82">
        <v>7.5999999999999998E-2</v>
      </c>
      <c r="F82" s="2">
        <f t="shared" si="7"/>
        <v>4236.4484292394727</v>
      </c>
      <c r="G82" s="2">
        <f t="shared" si="8"/>
        <v>1525121.4345262102</v>
      </c>
      <c r="H82" s="26">
        <f t="shared" si="9"/>
        <v>925121.43452621019</v>
      </c>
      <c r="I82" s="26">
        <f t="shared" si="11"/>
        <v>14818.096052207286</v>
      </c>
      <c r="J82" s="26">
        <f t="shared" si="10"/>
        <v>685900</v>
      </c>
      <c r="K82" s="2">
        <f t="shared" si="6"/>
        <v>239221.43452621019</v>
      </c>
    </row>
    <row r="83" spans="5:11" x14ac:dyDescent="0.25">
      <c r="E83">
        <v>7.6999999999999999E-2</v>
      </c>
      <c r="F83" s="2">
        <f t="shared" si="7"/>
        <v>4277.7610430474042</v>
      </c>
      <c r="G83" s="2">
        <f t="shared" si="8"/>
        <v>1539993.9754970656</v>
      </c>
      <c r="H83" s="26">
        <f t="shared" si="9"/>
        <v>939993.97549706558</v>
      </c>
      <c r="I83" s="26">
        <f t="shared" si="11"/>
        <v>14872.540970855393</v>
      </c>
      <c r="J83" s="26">
        <f t="shared" si="10"/>
        <v>694925</v>
      </c>
      <c r="K83" s="2">
        <f t="shared" si="6"/>
        <v>245068.97549706558</v>
      </c>
    </row>
    <row r="84" spans="5:11" x14ac:dyDescent="0.25">
      <c r="E84">
        <v>7.8E-2</v>
      </c>
      <c r="F84" s="2">
        <f t="shared" si="7"/>
        <v>4319.2230050425569</v>
      </c>
      <c r="G84" s="2">
        <f t="shared" si="8"/>
        <v>1554920.2818153205</v>
      </c>
      <c r="H84" s="26">
        <f t="shared" si="9"/>
        <v>954920.28181532049</v>
      </c>
      <c r="I84" s="26">
        <f t="shared" si="11"/>
        <v>14926.306318254909</v>
      </c>
      <c r="J84" s="26">
        <f t="shared" si="10"/>
        <v>703950</v>
      </c>
      <c r="K84" s="2">
        <f t="shared" si="6"/>
        <v>250970.28181532049</v>
      </c>
    </row>
    <row r="85" spans="5:11" x14ac:dyDescent="0.25">
      <c r="E85">
        <v>7.9000000000000001E-2</v>
      </c>
      <c r="F85" s="2">
        <f t="shared" si="7"/>
        <v>4360.8324315045365</v>
      </c>
      <c r="G85" s="2">
        <f t="shared" si="8"/>
        <v>1569899.6753416331</v>
      </c>
      <c r="H85" s="26">
        <f t="shared" si="9"/>
        <v>969899.67534163315</v>
      </c>
      <c r="I85" s="26">
        <f t="shared" si="11"/>
        <v>14979.393526312662</v>
      </c>
      <c r="J85" s="26">
        <f t="shared" si="10"/>
        <v>712975</v>
      </c>
      <c r="K85" s="2">
        <f t="shared" si="6"/>
        <v>256924.67534163315</v>
      </c>
    </row>
    <row r="86" spans="5:11" x14ac:dyDescent="0.25">
      <c r="E86">
        <v>0.08</v>
      </c>
      <c r="F86" s="2">
        <f t="shared" si="7"/>
        <v>4402.5874432762575</v>
      </c>
      <c r="G86" s="2">
        <f t="shared" si="8"/>
        <v>1584931.4795794527</v>
      </c>
      <c r="H86" s="26">
        <f t="shared" si="9"/>
        <v>984931.47957945266</v>
      </c>
      <c r="I86" s="26">
        <f t="shared" si="11"/>
        <v>15031.80423781951</v>
      </c>
      <c r="J86" s="26">
        <f t="shared" si="10"/>
        <v>722000</v>
      </c>
      <c r="K86" s="2">
        <f t="shared" si="6"/>
        <v>262931.47957945266</v>
      </c>
    </row>
    <row r="87" spans="5:11" x14ac:dyDescent="0.25">
      <c r="E87">
        <v>8.1000000000000003E-2</v>
      </c>
      <c r="F87" s="2">
        <f t="shared" si="7"/>
        <v>4444.4861663354322</v>
      </c>
      <c r="G87" s="2">
        <f t="shared" si="8"/>
        <v>1600015.0198807556</v>
      </c>
      <c r="H87" s="26">
        <f t="shared" si="9"/>
        <v>1000015.0198807556</v>
      </c>
      <c r="I87" s="26">
        <f t="shared" si="11"/>
        <v>15083.540301302914</v>
      </c>
      <c r="J87" s="26">
        <f t="shared" si="10"/>
        <v>731025</v>
      </c>
      <c r="K87" s="2">
        <f t="shared" si="6"/>
        <v>268990.01988075557</v>
      </c>
    </row>
    <row r="88" spans="5:11" x14ac:dyDescent="0.25">
      <c r="E88">
        <v>8.2000000000000003E-2</v>
      </c>
      <c r="F88" s="2">
        <f t="shared" si="7"/>
        <v>4486.5267323516382</v>
      </c>
      <c r="G88" s="2">
        <f t="shared" si="8"/>
        <v>1615149.6236465897</v>
      </c>
      <c r="H88" s="26">
        <f t="shared" si="9"/>
        <v>1015149.6236465897</v>
      </c>
      <c r="I88" s="26">
        <f t="shared" si="11"/>
        <v>15134.603765834123</v>
      </c>
      <c r="J88" s="26">
        <f t="shared" si="10"/>
        <v>740050</v>
      </c>
      <c r="K88" s="2">
        <f t="shared" si="6"/>
        <v>275099.62364658969</v>
      </c>
    </row>
    <row r="89" spans="5:11" x14ac:dyDescent="0.25">
      <c r="E89">
        <v>8.3000000000000004E-2</v>
      </c>
      <c r="F89" s="2">
        <f t="shared" si="7"/>
        <v>4528.7072792288091</v>
      </c>
      <c r="G89" s="2">
        <f t="shared" si="8"/>
        <v>1630334.6205223713</v>
      </c>
      <c r="H89" s="26">
        <f t="shared" si="9"/>
        <v>1030334.6205223713</v>
      </c>
      <c r="I89" s="26">
        <f t="shared" si="11"/>
        <v>15184.996875781566</v>
      </c>
      <c r="J89" s="26">
        <f t="shared" si="10"/>
        <v>749075</v>
      </c>
      <c r="K89" s="2">
        <f t="shared" si="6"/>
        <v>281259.62052237126</v>
      </c>
    </row>
    <row r="90" spans="5:11" x14ac:dyDescent="0.25">
      <c r="E90">
        <v>8.4000000000000005E-2</v>
      </c>
      <c r="F90" s="2">
        <f t="shared" si="7"/>
        <v>4571.0259516330998</v>
      </c>
      <c r="G90" s="2">
        <f t="shared" si="8"/>
        <v>1645569.3425879159</v>
      </c>
      <c r="H90" s="26">
        <f t="shared" si="9"/>
        <v>1045569.3425879159</v>
      </c>
      <c r="I90" s="26">
        <f t="shared" si="11"/>
        <v>15234.722065544687</v>
      </c>
      <c r="J90" s="26">
        <f t="shared" si="10"/>
        <v>758100</v>
      </c>
      <c r="K90" s="2">
        <f t="shared" si="6"/>
        <v>287469.34258791595</v>
      </c>
    </row>
    <row r="91" spans="5:11" x14ac:dyDescent="0.25">
      <c r="E91">
        <v>8.5000000000000006E-2</v>
      </c>
      <c r="F91" s="2">
        <f t="shared" si="7"/>
        <v>4613.4809015060018</v>
      </c>
      <c r="G91" s="2">
        <f t="shared" si="8"/>
        <v>1660853.1245421607</v>
      </c>
      <c r="H91" s="26">
        <f t="shared" si="9"/>
        <v>1060853.1245421607</v>
      </c>
      <c r="I91" s="26">
        <f t="shared" si="11"/>
        <v>15283.781954244711</v>
      </c>
      <c r="J91" s="26">
        <f t="shared" si="10"/>
        <v>767125.00000000012</v>
      </c>
      <c r="K91" s="2">
        <f t="shared" si="6"/>
        <v>293728.12454216054</v>
      </c>
    </row>
    <row r="92" spans="5:11" x14ac:dyDescent="0.25">
      <c r="E92">
        <v>8.5999999999999993E-2</v>
      </c>
      <c r="F92" s="2">
        <f t="shared" si="7"/>
        <v>4656.0702885626824</v>
      </c>
      <c r="G92" s="2">
        <f t="shared" si="8"/>
        <v>1676185.3038825656</v>
      </c>
      <c r="H92" s="26">
        <f t="shared" si="9"/>
        <v>1076185.3038825656</v>
      </c>
      <c r="I92" s="26">
        <f t="shared" si="11"/>
        <v>15332.179340404924</v>
      </c>
      <c r="J92" s="26">
        <f t="shared" si="10"/>
        <v>776149.99999999988</v>
      </c>
      <c r="K92" s="2">
        <f t="shared" si="6"/>
        <v>300035.3038825657</v>
      </c>
    </row>
    <row r="93" spans="5:11" x14ac:dyDescent="0.25">
      <c r="E93">
        <v>8.6999999999999994E-2</v>
      </c>
      <c r="F93" s="2">
        <f t="shared" si="7"/>
        <v>4698.7922807754794</v>
      </c>
      <c r="G93" s="2">
        <f t="shared" si="8"/>
        <v>1691565.2210791726</v>
      </c>
      <c r="H93" s="26">
        <f t="shared" si="9"/>
        <v>1091565.2210791726</v>
      </c>
      <c r="I93" s="26">
        <f t="shared" si="11"/>
        <v>15379.917196606984</v>
      </c>
      <c r="J93" s="26">
        <f t="shared" si="10"/>
        <v>785175</v>
      </c>
      <c r="K93" s="2">
        <f t="shared" si="6"/>
        <v>306390.22107917257</v>
      </c>
    </row>
    <row r="94" spans="5:11" x14ac:dyDescent="0.25">
      <c r="E94">
        <v>8.7999999999999995E-2</v>
      </c>
      <c r="F94" s="2">
        <f t="shared" si="7"/>
        <v>4741.6450548425337</v>
      </c>
      <c r="G94" s="2">
        <f t="shared" si="8"/>
        <v>1706992.2197433121</v>
      </c>
      <c r="H94" s="26">
        <f t="shared" si="9"/>
        <v>1106992.2197433121</v>
      </c>
      <c r="I94" s="26">
        <f t="shared" si="11"/>
        <v>15426.998664139537</v>
      </c>
      <c r="J94" s="26">
        <f t="shared" si="10"/>
        <v>794200</v>
      </c>
      <c r="K94" s="2">
        <f t="shared" si="6"/>
        <v>312792.2197433121</v>
      </c>
    </row>
    <row r="95" spans="5:11" x14ac:dyDescent="0.25">
      <c r="E95">
        <v>8.8999999999999996E-2</v>
      </c>
      <c r="F95" s="2">
        <f t="shared" si="7"/>
        <v>4784.6267966415498</v>
      </c>
      <c r="G95" s="2">
        <f t="shared" si="8"/>
        <v>1722465.646790958</v>
      </c>
      <c r="H95" s="26">
        <f t="shared" si="9"/>
        <v>1122465.646790958</v>
      </c>
      <c r="I95" s="26">
        <f t="shared" si="11"/>
        <v>15473.427047645906</v>
      </c>
      <c r="J95" s="26">
        <f t="shared" si="10"/>
        <v>803225</v>
      </c>
      <c r="K95" s="2">
        <f t="shared" si="6"/>
        <v>319240.64679095801</v>
      </c>
    </row>
    <row r="96" spans="5:11" x14ac:dyDescent="0.25">
      <c r="E96">
        <v>0.09</v>
      </c>
      <c r="F96" s="2">
        <f t="shared" si="7"/>
        <v>4827.7357016686956</v>
      </c>
      <c r="G96" s="2">
        <f t="shared" si="8"/>
        <v>1737984.8526007305</v>
      </c>
      <c r="H96" s="26">
        <f t="shared" si="9"/>
        <v>1137984.8526007305</v>
      </c>
      <c r="I96" s="26">
        <f t="shared" si="11"/>
        <v>15519.20580977248</v>
      </c>
      <c r="J96" s="26">
        <f t="shared" si="10"/>
        <v>812250</v>
      </c>
      <c r="K96" s="2">
        <f t="shared" si="6"/>
        <v>325734.85260073049</v>
      </c>
    </row>
    <row r="97" spans="5:11" x14ac:dyDescent="0.25">
      <c r="E97">
        <v>9.0999999999999998E-2</v>
      </c>
      <c r="F97" s="2">
        <f t="shared" si="7"/>
        <v>4870.9699754626463</v>
      </c>
      <c r="G97" s="2">
        <f t="shared" si="8"/>
        <v>1753549.1911665527</v>
      </c>
      <c r="H97" s="26">
        <f t="shared" si="9"/>
        <v>1153549.1911665527</v>
      </c>
      <c r="I97" s="26">
        <f t="shared" si="11"/>
        <v>15564.338565822225</v>
      </c>
      <c r="J97" s="26">
        <f t="shared" si="10"/>
        <v>821275</v>
      </c>
      <c r="K97" s="2">
        <f t="shared" si="6"/>
        <v>332274.19116655272</v>
      </c>
    </row>
    <row r="98" spans="5:11" x14ac:dyDescent="0.25">
      <c r="E98">
        <v>9.1999999999999998E-2</v>
      </c>
      <c r="F98" s="2">
        <f t="shared" si="7"/>
        <v>4914.3278340138213</v>
      </c>
      <c r="G98" s="2">
        <f t="shared" si="8"/>
        <v>1769158.0202449756</v>
      </c>
      <c r="H98" s="26">
        <f t="shared" si="9"/>
        <v>1169158.0202449756</v>
      </c>
      <c r="I98" s="26">
        <f t="shared" si="11"/>
        <v>15608.829078422859</v>
      </c>
      <c r="J98" s="26">
        <f t="shared" si="10"/>
        <v>830300</v>
      </c>
      <c r="K98" s="2">
        <f t="shared" si="6"/>
        <v>338858.02024497557</v>
      </c>
    </row>
    <row r="99" spans="5:11" x14ac:dyDescent="0.25">
      <c r="E99">
        <v>9.2999999999999999E-2</v>
      </c>
      <c r="F99" s="2">
        <f t="shared" si="7"/>
        <v>4957.8075041588745</v>
      </c>
      <c r="G99" s="2">
        <f t="shared" si="8"/>
        <v>1784810.7014971948</v>
      </c>
      <c r="H99" s="26">
        <f t="shared" si="9"/>
        <v>1184810.7014971948</v>
      </c>
      <c r="I99" s="26">
        <f t="shared" si="11"/>
        <v>15652.681252219249</v>
      </c>
      <c r="J99" s="26">
        <f t="shared" si="10"/>
        <v>839325</v>
      </c>
      <c r="K99" s="2">
        <f t="shared" si="6"/>
        <v>345485.70149719482</v>
      </c>
    </row>
    <row r="100" spans="5:11" x14ac:dyDescent="0.25">
      <c r="E100">
        <v>9.4E-2</v>
      </c>
      <c r="F100" s="2">
        <f t="shared" si="7"/>
        <v>5001.4072239604757</v>
      </c>
      <c r="G100" s="2">
        <f t="shared" si="8"/>
        <v>1800506.6006257713</v>
      </c>
      <c r="H100" s="26">
        <f t="shared" si="9"/>
        <v>1200506.6006257713</v>
      </c>
      <c r="I100" s="26">
        <f t="shared" si="11"/>
        <v>15695.899128576508</v>
      </c>
      <c r="J100" s="26">
        <f t="shared" si="10"/>
        <v>848350</v>
      </c>
      <c r="K100" s="2">
        <f t="shared" si="6"/>
        <v>352156.60062577133</v>
      </c>
    </row>
    <row r="101" spans="5:11" x14ac:dyDescent="0.25">
      <c r="E101">
        <v>9.5000000000000001E-2</v>
      </c>
      <c r="F101" s="2">
        <f t="shared" si="7"/>
        <v>5045.125243072489</v>
      </c>
      <c r="G101" s="2">
        <f t="shared" si="8"/>
        <v>1816245.0875060961</v>
      </c>
      <c r="H101" s="26">
        <f t="shared" si="9"/>
        <v>1216245.0875060961</v>
      </c>
      <c r="I101" s="26">
        <f t="shared" si="11"/>
        <v>15738.486880324781</v>
      </c>
      <c r="J101" s="26">
        <f t="shared" si="10"/>
        <v>857375</v>
      </c>
      <c r="K101" s="2">
        <f t="shared" si="6"/>
        <v>358870.08750609611</v>
      </c>
    </row>
    <row r="102" spans="5:11" x14ac:dyDescent="0.25">
      <c r="E102">
        <v>9.6000000000000002E-2</v>
      </c>
      <c r="F102" s="2">
        <f t="shared" si="7"/>
        <v>5088.9598230906195</v>
      </c>
      <c r="G102" s="2">
        <f t="shared" si="8"/>
        <v>1832025.5363126229</v>
      </c>
      <c r="H102" s="26">
        <f t="shared" si="9"/>
        <v>1232025.5363126229</v>
      </c>
      <c r="I102" s="26">
        <f t="shared" si="11"/>
        <v>15780.448806526838</v>
      </c>
      <c r="J102" s="26">
        <f t="shared" si="10"/>
        <v>866400</v>
      </c>
      <c r="K102" s="2">
        <f t="shared" si="6"/>
        <v>365625.53631262295</v>
      </c>
    </row>
    <row r="103" spans="5:11" x14ac:dyDescent="0.25">
      <c r="E103">
        <v>9.7000000000000003E-2</v>
      </c>
      <c r="F103" s="2">
        <f t="shared" si="7"/>
        <v>5132.9092378886571</v>
      </c>
      <c r="G103" s="2">
        <f t="shared" si="8"/>
        <v>1847847.3256399166</v>
      </c>
      <c r="H103" s="26">
        <f t="shared" si="9"/>
        <v>1247847.3256399166</v>
      </c>
      <c r="I103" s="26">
        <f t="shared" si="11"/>
        <v>15821.789327293634</v>
      </c>
      <c r="J103" s="26">
        <f t="shared" si="10"/>
        <v>875425</v>
      </c>
      <c r="K103" s="2">
        <f t="shared" si="6"/>
        <v>372422.32563991658</v>
      </c>
    </row>
    <row r="104" spans="5:11" x14ac:dyDescent="0.25">
      <c r="E104">
        <v>9.8000000000000004E-2</v>
      </c>
      <c r="F104" s="2">
        <f t="shared" si="7"/>
        <v>5176.9717739404032</v>
      </c>
      <c r="G104" s="2">
        <f t="shared" si="8"/>
        <v>1863709.8386185451</v>
      </c>
      <c r="H104" s="26">
        <f t="shared" si="9"/>
        <v>1263709.8386185451</v>
      </c>
      <c r="I104" s="26">
        <f t="shared" si="11"/>
        <v>15862.512978628511</v>
      </c>
      <c r="J104" s="26">
        <f t="shared" si="10"/>
        <v>884450</v>
      </c>
      <c r="K104" s="2">
        <f t="shared" si="6"/>
        <v>379259.83861854509</v>
      </c>
    </row>
    <row r="105" spans="5:11" x14ac:dyDescent="0.25">
      <c r="E105">
        <v>9.9000000000000005E-2</v>
      </c>
      <c r="F105" s="2">
        <f t="shared" si="7"/>
        <v>5221.1457306274269</v>
      </c>
      <c r="G105" s="2">
        <f t="shared" si="8"/>
        <v>1879612.4630258738</v>
      </c>
      <c r="H105" s="26">
        <f t="shared" si="9"/>
        <v>1279612.4630258738</v>
      </c>
      <c r="I105" s="26">
        <f t="shared" si="11"/>
        <v>15902.624407328665</v>
      </c>
      <c r="J105" s="26">
        <f t="shared" si="10"/>
        <v>893475</v>
      </c>
      <c r="K105" s="2">
        <f t="shared" si="6"/>
        <v>386137.46302587376</v>
      </c>
    </row>
    <row r="106" spans="5:11" x14ac:dyDescent="0.25">
      <c r="E106">
        <v>0.1</v>
      </c>
      <c r="F106" s="2">
        <f t="shared" si="7"/>
        <v>5265.4294205327924</v>
      </c>
      <c r="G106" s="2">
        <f t="shared" si="8"/>
        <v>1895554.5913918053</v>
      </c>
      <c r="H106" s="26">
        <f t="shared" si="9"/>
        <v>1295554.5913918053</v>
      </c>
      <c r="I106" s="26">
        <f t="shared" si="11"/>
        <v>15942.128365931567</v>
      </c>
      <c r="J106" s="26">
        <f t="shared" si="10"/>
        <v>902500</v>
      </c>
      <c r="K106" s="2">
        <f t="shared" si="6"/>
        <v>393054.59139180533</v>
      </c>
    </row>
    <row r="107" spans="5:11" x14ac:dyDescent="0.25">
      <c r="E107">
        <v>0.10100000000000001</v>
      </c>
      <c r="F107" s="2">
        <f t="shared" si="7"/>
        <v>5309.8211697208908</v>
      </c>
      <c r="G107" s="2">
        <f t="shared" si="8"/>
        <v>1911535.6210995207</v>
      </c>
      <c r="H107" s="26">
        <f t="shared" si="9"/>
        <v>1311535.6210995207</v>
      </c>
      <c r="I107" s="26">
        <f t="shared" si="11"/>
        <v>15981.029707715381</v>
      </c>
      <c r="J107" s="26">
        <f t="shared" si="10"/>
        <v>911525.00000000012</v>
      </c>
      <c r="K107" s="2">
        <f t="shared" si="6"/>
        <v>400010.62109952059</v>
      </c>
    </row>
    <row r="108" spans="5:11" x14ac:dyDescent="0.25">
      <c r="E108">
        <v>0.10199999999999999</v>
      </c>
      <c r="F108" s="2">
        <f t="shared" si="7"/>
        <v>5354.3193180035414</v>
      </c>
      <c r="G108" s="2">
        <f t="shared" si="8"/>
        <v>1927554.9544812748</v>
      </c>
      <c r="H108" s="26">
        <f t="shared" si="9"/>
        <v>1327554.9544812748</v>
      </c>
      <c r="I108" s="26">
        <f t="shared" si="11"/>
        <v>16019.333381754113</v>
      </c>
      <c r="J108" s="26">
        <f t="shared" si="10"/>
        <v>920549.99999999988</v>
      </c>
      <c r="K108" s="2">
        <f t="shared" si="6"/>
        <v>407004.95448127494</v>
      </c>
    </row>
    <row r="109" spans="5:11" x14ac:dyDescent="0.25">
      <c r="E109">
        <v>0.10299999999999999</v>
      </c>
      <c r="F109" s="2">
        <f t="shared" si="7"/>
        <v>5398.9222191925455</v>
      </c>
      <c r="G109" s="2">
        <f t="shared" si="8"/>
        <v>1943611.9989093165</v>
      </c>
      <c r="H109" s="26">
        <f t="shared" si="9"/>
        <v>1343611.9989093165</v>
      </c>
      <c r="I109" s="26">
        <f t="shared" si="11"/>
        <v>16057.04442804167</v>
      </c>
      <c r="J109" s="26">
        <f t="shared" si="10"/>
        <v>929575</v>
      </c>
      <c r="K109" s="2">
        <f t="shared" si="6"/>
        <v>414036.99890931649</v>
      </c>
    </row>
    <row r="110" spans="5:11" x14ac:dyDescent="0.25">
      <c r="E110">
        <v>0.104</v>
      </c>
      <c r="F110" s="2">
        <f t="shared" si="7"/>
        <v>5443.6282413388317</v>
      </c>
      <c r="G110" s="2">
        <f t="shared" si="8"/>
        <v>1959706.1668819794</v>
      </c>
      <c r="H110" s="26">
        <f t="shared" si="9"/>
        <v>1359706.1668819794</v>
      </c>
      <c r="I110" s="26">
        <f t="shared" si="11"/>
        <v>16094.167972662952</v>
      </c>
      <c r="J110" s="26">
        <f t="shared" si="10"/>
        <v>938600</v>
      </c>
      <c r="K110" s="2">
        <f t="shared" si="6"/>
        <v>421106.16688197944</v>
      </c>
    </row>
    <row r="111" spans="5:11" x14ac:dyDescent="0.25">
      <c r="E111">
        <v>0.105</v>
      </c>
      <c r="F111" s="2">
        <f t="shared" si="7"/>
        <v>5488.4357669584278</v>
      </c>
      <c r="G111" s="2">
        <f t="shared" si="8"/>
        <v>1975836.876105034</v>
      </c>
      <c r="H111" s="26">
        <f t="shared" si="9"/>
        <v>1375836.876105034</v>
      </c>
      <c r="I111" s="26">
        <f t="shared" si="11"/>
        <v>16130.709223054582</v>
      </c>
      <c r="J111" s="26">
        <f t="shared" si="10"/>
        <v>947625</v>
      </c>
      <c r="K111" s="2">
        <f t="shared" si="6"/>
        <v>428211.87610503403</v>
      </c>
    </row>
    <row r="112" spans="5:11" x14ac:dyDescent="0.25">
      <c r="E112">
        <v>0.106</v>
      </c>
      <c r="F112" s="2">
        <f t="shared" si="7"/>
        <v>5533.3431932453968</v>
      </c>
      <c r="G112" s="2">
        <f t="shared" si="8"/>
        <v>1992003.549568343</v>
      </c>
      <c r="H112" s="26">
        <f t="shared" si="9"/>
        <v>1392003.549568343</v>
      </c>
      <c r="I112" s="26">
        <f t="shared" si="11"/>
        <v>16166.673463308951</v>
      </c>
      <c r="J112" s="26">
        <f t="shared" si="10"/>
        <v>956650</v>
      </c>
      <c r="K112" s="2">
        <f t="shared" si="6"/>
        <v>435353.54956834298</v>
      </c>
    </row>
    <row r="113" spans="5:11" x14ac:dyDescent="0.25">
      <c r="E113">
        <v>0.107</v>
      </c>
      <c r="F113" s="2">
        <f t="shared" si="7"/>
        <v>5578.3489322719861</v>
      </c>
      <c r="G113" s="2">
        <f t="shared" si="8"/>
        <v>2008205.6156179151</v>
      </c>
      <c r="H113" s="26">
        <f t="shared" si="9"/>
        <v>1408205.6156179151</v>
      </c>
      <c r="I113" s="26">
        <f t="shared" si="11"/>
        <v>16202.06604957208</v>
      </c>
      <c r="J113" s="26">
        <f t="shared" si="10"/>
        <v>965675</v>
      </c>
      <c r="K113" s="2">
        <f t="shared" si="6"/>
        <v>442530.61561791506</v>
      </c>
    </row>
    <row r="114" spans="5:11" x14ac:dyDescent="0.25">
      <c r="E114">
        <v>0.108</v>
      </c>
      <c r="F114" s="2">
        <f t="shared" si="7"/>
        <v>5623.4514111761591</v>
      </c>
      <c r="G114" s="2">
        <f t="shared" si="8"/>
        <v>2024442.5080234173</v>
      </c>
      <c r="H114" s="26">
        <f t="shared" si="9"/>
        <v>1424442.5080234173</v>
      </c>
      <c r="I114" s="26">
        <f t="shared" si="11"/>
        <v>16236.892405502265</v>
      </c>
      <c r="J114" s="26">
        <f t="shared" si="10"/>
        <v>974700</v>
      </c>
      <c r="K114" s="2">
        <f t="shared" si="6"/>
        <v>449742.50802341732</v>
      </c>
    </row>
    <row r="115" spans="5:11" x14ac:dyDescent="0.25">
      <c r="E115">
        <v>0.109</v>
      </c>
      <c r="F115" s="2">
        <f t="shared" si="7"/>
        <v>5668.6490723367433</v>
      </c>
      <c r="G115" s="2">
        <f t="shared" si="8"/>
        <v>2040713.6660412275</v>
      </c>
      <c r="H115" s="26">
        <f t="shared" si="9"/>
        <v>1440713.6660412275</v>
      </c>
      <c r="I115" s="26">
        <f t="shared" si="11"/>
        <v>16271.158017810201</v>
      </c>
      <c r="J115" s="26">
        <f t="shared" si="10"/>
        <v>983725</v>
      </c>
      <c r="K115" s="2">
        <f t="shared" si="6"/>
        <v>456988.66604122752</v>
      </c>
    </row>
    <row r="116" spans="5:11" x14ac:dyDescent="0.25">
      <c r="E116">
        <v>0.11</v>
      </c>
      <c r="F116" s="2">
        <f t="shared" si="7"/>
        <v>5713.9403735363985</v>
      </c>
      <c r="G116" s="2">
        <f t="shared" si="8"/>
        <v>2057018.5344731035</v>
      </c>
      <c r="H116" s="26">
        <f t="shared" si="9"/>
        <v>1457018.5344731035</v>
      </c>
      <c r="I116" s="26">
        <f t="shared" si="11"/>
        <v>16304.868431875948</v>
      </c>
      <c r="J116" s="26">
        <f t="shared" si="10"/>
        <v>992750</v>
      </c>
      <c r="K116" s="2">
        <f t="shared" si="6"/>
        <v>464268.53447310347</v>
      </c>
    </row>
    <row r="117" spans="5:11" x14ac:dyDescent="0.25">
      <c r="E117">
        <v>0.111</v>
      </c>
      <c r="F117" s="2">
        <f t="shared" si="7"/>
        <v>5759.323788112637</v>
      </c>
      <c r="G117" s="2">
        <f t="shared" si="8"/>
        <v>2073356.5637205492</v>
      </c>
      <c r="H117" s="26">
        <f t="shared" si="9"/>
        <v>1473356.5637205492</v>
      </c>
      <c r="I117" s="26">
        <f t="shared" si="11"/>
        <v>16338.029247445753</v>
      </c>
      <c r="J117" s="26">
        <f t="shared" si="10"/>
        <v>1001775</v>
      </c>
      <c r="K117" s="2">
        <f t="shared" si="6"/>
        <v>471581.56372054922</v>
      </c>
    </row>
    <row r="118" spans="5:11" x14ac:dyDescent="0.25">
      <c r="E118">
        <v>0.112</v>
      </c>
      <c r="F118" s="2">
        <f t="shared" si="7"/>
        <v>5804.7978050971269</v>
      </c>
      <c r="G118" s="2">
        <f t="shared" si="8"/>
        <v>2089727.2098349656</v>
      </c>
      <c r="H118" s="26">
        <f t="shared" si="9"/>
        <v>1489727.2098349656</v>
      </c>
      <c r="I118" s="26">
        <f t="shared" si="11"/>
        <v>16370.64611441642</v>
      </c>
      <c r="J118" s="26">
        <f t="shared" si="10"/>
        <v>1010800</v>
      </c>
      <c r="K118" s="2">
        <f t="shared" si="6"/>
        <v>478927.20983496564</v>
      </c>
    </row>
    <row r="119" spans="5:11" x14ac:dyDescent="0.25">
      <c r="E119">
        <v>0.113</v>
      </c>
      <c r="F119" s="2">
        <f t="shared" si="7"/>
        <v>5850.3609293434884</v>
      </c>
      <c r="G119" s="2">
        <f t="shared" si="8"/>
        <v>2106129.9345636559</v>
      </c>
      <c r="H119" s="26">
        <f t="shared" si="9"/>
        <v>1506129.9345636559</v>
      </c>
      <c r="I119" s="26">
        <f t="shared" si="11"/>
        <v>16402.724728690227</v>
      </c>
      <c r="J119" s="26">
        <f t="shared" si="10"/>
        <v>1019825</v>
      </c>
      <c r="K119" s="2">
        <f t="shared" si="6"/>
        <v>486304.93456365587</v>
      </c>
    </row>
    <row r="120" spans="5:11" x14ac:dyDescent="0.25">
      <c r="E120">
        <v>0.114</v>
      </c>
      <c r="F120" s="2">
        <f t="shared" si="7"/>
        <v>5896.011681643854</v>
      </c>
      <c r="G120" s="2">
        <f t="shared" si="8"/>
        <v>2122564.2053917875</v>
      </c>
      <c r="H120" s="26">
        <f t="shared" si="9"/>
        <v>1522564.2053917875</v>
      </c>
      <c r="I120" s="26">
        <f t="shared" si="11"/>
        <v>16434.270828131586</v>
      </c>
      <c r="J120" s="26">
        <f t="shared" si="10"/>
        <v>1028850</v>
      </c>
      <c r="K120" s="2">
        <f t="shared" si="6"/>
        <v>493714.20539178746</v>
      </c>
    </row>
    <row r="121" spans="5:11" x14ac:dyDescent="0.25">
      <c r="E121">
        <v>0.115</v>
      </c>
      <c r="F121" s="2">
        <f t="shared" si="7"/>
        <v>5941.7485988343988</v>
      </c>
      <c r="G121" s="2">
        <f t="shared" si="8"/>
        <v>2139029.4955803836</v>
      </c>
      <c r="H121" s="26">
        <f t="shared" si="9"/>
        <v>1539029.4955803836</v>
      </c>
      <c r="I121" s="26">
        <f t="shared" si="11"/>
        <v>16465.290188596118</v>
      </c>
      <c r="J121" s="26">
        <f t="shared" si="10"/>
        <v>1037875</v>
      </c>
      <c r="K121" s="2">
        <f t="shared" si="6"/>
        <v>501154.49558038358</v>
      </c>
    </row>
    <row r="122" spans="5:11" x14ac:dyDescent="0.25">
      <c r="E122">
        <v>0.11600000000000001</v>
      </c>
      <c r="F122" s="2">
        <f t="shared" si="7"/>
        <v>5987.5702338900983</v>
      </c>
      <c r="G122" s="2">
        <f t="shared" si="8"/>
        <v>2155525.2842004355</v>
      </c>
      <c r="H122" s="26">
        <f t="shared" si="9"/>
        <v>1555525.2842004355</v>
      </c>
      <c r="I122" s="26">
        <f t="shared" si="11"/>
        <v>16495.788620051928</v>
      </c>
      <c r="J122" s="26">
        <f t="shared" si="10"/>
        <v>1046900</v>
      </c>
      <c r="K122" s="2">
        <f t="shared" si="6"/>
        <v>508625.2842004355</v>
      </c>
    </row>
    <row r="123" spans="5:11" x14ac:dyDescent="0.25">
      <c r="E123">
        <v>0.11700000000000001</v>
      </c>
      <c r="F123" s="2">
        <f t="shared" si="7"/>
        <v>6033.4751560089608</v>
      </c>
      <c r="G123" s="2">
        <f t="shared" si="8"/>
        <v>2172051.0561632258</v>
      </c>
      <c r="H123" s="26">
        <f t="shared" si="9"/>
        <v>1572051.0561632258</v>
      </c>
      <c r="I123" s="26">
        <f t="shared" si="11"/>
        <v>16525.771962790284</v>
      </c>
      <c r="J123" s="26">
        <f t="shared" si="10"/>
        <v>1055925</v>
      </c>
      <c r="K123" s="2">
        <f t="shared" si="6"/>
        <v>516126.05616322579</v>
      </c>
    </row>
    <row r="124" spans="5:11" x14ac:dyDescent="0.25">
      <c r="E124">
        <v>0.11799999999999999</v>
      </c>
      <c r="F124" s="2">
        <f t="shared" si="7"/>
        <v>6079.4619506859772</v>
      </c>
      <c r="G124" s="2">
        <f t="shared" si="8"/>
        <v>2188606.302246952</v>
      </c>
      <c r="H124" s="26">
        <f t="shared" si="9"/>
        <v>1588606.302246952</v>
      </c>
      <c r="I124" s="26">
        <f t="shared" si="11"/>
        <v>16555.246083726175</v>
      </c>
      <c r="J124" s="26">
        <f t="shared" si="10"/>
        <v>1064950</v>
      </c>
      <c r="K124" s="2">
        <f t="shared" si="6"/>
        <v>523656.30224695196</v>
      </c>
    </row>
    <row r="125" spans="5:11" x14ac:dyDescent="0.25">
      <c r="E125">
        <v>0.11899999999999999</v>
      </c>
      <c r="F125" s="2">
        <f t="shared" si="7"/>
        <v>6125.5292197770304</v>
      </c>
      <c r="G125" s="2">
        <f t="shared" si="8"/>
        <v>2205190.5191197312</v>
      </c>
      <c r="H125" s="26">
        <f t="shared" si="9"/>
        <v>1605190.5191197312</v>
      </c>
      <c r="I125" s="26">
        <f t="shared" si="11"/>
        <v>16584.216872779187</v>
      </c>
      <c r="J125" s="26">
        <f t="shared" si="10"/>
        <v>1073975</v>
      </c>
      <c r="K125" s="2">
        <f t="shared" si="6"/>
        <v>531215.51911973115</v>
      </c>
    </row>
    <row r="126" spans="5:11" x14ac:dyDescent="0.25">
      <c r="E126">
        <v>0.12</v>
      </c>
      <c r="F126" s="2">
        <f t="shared" si="7"/>
        <v>6171.6755815530269</v>
      </c>
      <c r="G126" s="2">
        <f t="shared" si="8"/>
        <v>2221803.2093590898</v>
      </c>
      <c r="H126" s="26">
        <f t="shared" si="9"/>
        <v>1621803.2093590898</v>
      </c>
      <c r="I126" s="26">
        <f t="shared" si="11"/>
        <v>16612.690239358693</v>
      </c>
      <c r="J126" s="26">
        <f t="shared" si="10"/>
        <v>1083000</v>
      </c>
      <c r="K126" s="2">
        <f t="shared" si="6"/>
        <v>538803.20935908984</v>
      </c>
    </row>
    <row r="127" spans="5:11" x14ac:dyDescent="0.25">
      <c r="E127">
        <v>0.121</v>
      </c>
      <c r="F127" s="2">
        <f t="shared" si="7"/>
        <v>6217.8996707444885</v>
      </c>
      <c r="G127" s="2">
        <f t="shared" si="8"/>
        <v>2238443.8814680157</v>
      </c>
      <c r="H127" s="26">
        <f t="shared" si="9"/>
        <v>1638443.8814680157</v>
      </c>
      <c r="I127" s="26">
        <f t="shared" si="11"/>
        <v>16640.672108925879</v>
      </c>
      <c r="J127" s="26">
        <f t="shared" si="10"/>
        <v>1092025</v>
      </c>
      <c r="K127" s="2">
        <f t="shared" si="6"/>
        <v>546418.88146801572</v>
      </c>
    </row>
    <row r="128" spans="5:11" x14ac:dyDescent="0.25">
      <c r="E128">
        <v>0.122</v>
      </c>
      <c r="F128" s="2">
        <f t="shared" si="7"/>
        <v>6264.2001385768754</v>
      </c>
      <c r="G128" s="2">
        <f t="shared" si="8"/>
        <v>2255112.0498876753</v>
      </c>
      <c r="H128" s="26">
        <f t="shared" si="9"/>
        <v>1655112.0498876753</v>
      </c>
      <c r="I128" s="26">
        <f t="shared" si="11"/>
        <v>16668.168419659603</v>
      </c>
      <c r="J128" s="26">
        <f t="shared" si="10"/>
        <v>1101050</v>
      </c>
      <c r="K128" s="2">
        <f t="shared" si="6"/>
        <v>554062.04988767533</v>
      </c>
    </row>
    <row r="129" spans="5:11" x14ac:dyDescent="0.25">
      <c r="E129">
        <v>0.123</v>
      </c>
      <c r="F129" s="2">
        <f t="shared" si="7"/>
        <v>6310.5756527968615</v>
      </c>
      <c r="G129" s="2">
        <f t="shared" si="8"/>
        <v>2271807.2350068702</v>
      </c>
      <c r="H129" s="26">
        <f t="shared" si="9"/>
        <v>1671807.2350068702</v>
      </c>
      <c r="I129" s="26">
        <f t="shared" si="11"/>
        <v>16695.18511919491</v>
      </c>
      <c r="J129" s="26">
        <f t="shared" si="10"/>
        <v>1110075</v>
      </c>
      <c r="K129" s="2">
        <f t="shared" si="6"/>
        <v>561732.23500687024</v>
      </c>
    </row>
    <row r="130" spans="5:11" x14ac:dyDescent="0.25">
      <c r="E130">
        <v>0.124</v>
      </c>
      <c r="F130" s="2">
        <f t="shared" si="7"/>
        <v>6357.0248976898511</v>
      </c>
      <c r="G130" s="2">
        <f t="shared" si="8"/>
        <v>2288528.9631683463</v>
      </c>
      <c r="H130" s="26">
        <f t="shared" si="9"/>
        <v>1688528.9631683463</v>
      </c>
      <c r="I130" s="26">
        <f t="shared" si="11"/>
        <v>16721.728161476087</v>
      </c>
      <c r="J130" s="26">
        <f t="shared" si="10"/>
        <v>1119100</v>
      </c>
      <c r="K130" s="2">
        <f t="shared" si="6"/>
        <v>569428.96316834632</v>
      </c>
    </row>
    <row r="131" spans="5:11" x14ac:dyDescent="0.25">
      <c r="E131">
        <v>0.125</v>
      </c>
      <c r="F131" s="2">
        <f t="shared" si="7"/>
        <v>6403.5465740889567</v>
      </c>
      <c r="G131" s="2">
        <f t="shared" si="8"/>
        <v>2305276.7666720245</v>
      </c>
      <c r="H131" s="26">
        <f t="shared" si="9"/>
        <v>1705276.7666720245</v>
      </c>
      <c r="I131" s="26">
        <f t="shared" si="11"/>
        <v>16747.80350367818</v>
      </c>
      <c r="J131" s="26">
        <f t="shared" si="10"/>
        <v>1128125</v>
      </c>
      <c r="K131" s="2">
        <f t="shared" si="6"/>
        <v>577151.7666720245</v>
      </c>
    </row>
    <row r="132" spans="5:11" x14ac:dyDescent="0.25">
      <c r="E132">
        <v>0.126</v>
      </c>
      <c r="F132" s="2">
        <f t="shared" si="7"/>
        <v>6450.1393993757138</v>
      </c>
      <c r="G132" s="2">
        <f t="shared" si="8"/>
        <v>2322050.1837752569</v>
      </c>
      <c r="H132" s="26">
        <f t="shared" si="9"/>
        <v>1722050.1837752569</v>
      </c>
      <c r="I132" s="26">
        <f t="shared" si="11"/>
        <v>16773.41710323235</v>
      </c>
      <c r="J132" s="26">
        <f t="shared" si="10"/>
        <v>1137150</v>
      </c>
      <c r="K132" s="2">
        <f t="shared" si="6"/>
        <v>584900.18377525685</v>
      </c>
    </row>
    <row r="133" spans="5:11" x14ac:dyDescent="0.25">
      <c r="E133">
        <v>0.127</v>
      </c>
      <c r="F133" s="2">
        <f t="shared" si="7"/>
        <v>6496.8021074727576</v>
      </c>
      <c r="G133" s="2">
        <f t="shared" si="8"/>
        <v>2338848.7586901928</v>
      </c>
      <c r="H133" s="26">
        <f t="shared" si="9"/>
        <v>1738848.7586901928</v>
      </c>
      <c r="I133" s="26">
        <f t="shared" si="11"/>
        <v>16798.574914935976</v>
      </c>
      <c r="J133" s="26">
        <f t="shared" si="10"/>
        <v>1146175</v>
      </c>
      <c r="K133" s="2">
        <f t="shared" si="6"/>
        <v>592673.75869019283</v>
      </c>
    </row>
    <row r="134" spans="5:11" x14ac:dyDescent="0.25">
      <c r="E134">
        <v>0.128</v>
      </c>
      <c r="F134" s="2">
        <f t="shared" si="7"/>
        <v>6543.5334488287508</v>
      </c>
      <c r="G134" s="2">
        <f t="shared" si="8"/>
        <v>2355672.0415783501</v>
      </c>
      <c r="H134" s="26">
        <f t="shared" si="9"/>
        <v>1755672.0415783501</v>
      </c>
      <c r="I134" s="26">
        <f t="shared" si="11"/>
        <v>16823.282888157293</v>
      </c>
      <c r="J134" s="26">
        <f t="shared" si="10"/>
        <v>1155200</v>
      </c>
      <c r="K134" s="2">
        <f t="shared" ref="K134:K197" si="12">H134-J134</f>
        <v>600472.04157835012</v>
      </c>
    </row>
    <row r="135" spans="5:11" x14ac:dyDescent="0.25">
      <c r="E135">
        <v>0.129</v>
      </c>
      <c r="F135" s="2">
        <f t="shared" ref="F135:F198" si="13">PMT(E135/12,$C$7,-$C$6,0,0)</f>
        <v>6590.3321903957594</v>
      </c>
      <c r="G135" s="2">
        <f t="shared" ref="G135:G198" si="14">360*F135</f>
        <v>2372519.5885424735</v>
      </c>
      <c r="H135" s="26">
        <f t="shared" ref="H135:H198" si="15">360*F135-$C$6</f>
        <v>1772519.5885424735</v>
      </c>
      <c r="I135" s="26">
        <f t="shared" si="11"/>
        <v>16847.546964123379</v>
      </c>
      <c r="J135" s="26">
        <f t="shared" ref="J135:J198" si="16">$C$6*E135/12*($C$7+1)/2</f>
        <v>1164225</v>
      </c>
      <c r="K135" s="2">
        <f t="shared" si="12"/>
        <v>608294.5885424735</v>
      </c>
    </row>
    <row r="136" spans="5:11" x14ac:dyDescent="0.25">
      <c r="E136">
        <v>0.13</v>
      </c>
      <c r="F136" s="2">
        <f t="shared" si="13"/>
        <v>6637.197115599366</v>
      </c>
      <c r="G136" s="2">
        <f t="shared" si="14"/>
        <v>2389390.961615772</v>
      </c>
      <c r="H136" s="26">
        <f t="shared" si="15"/>
        <v>1789390.961615772</v>
      </c>
      <c r="I136" s="26">
        <f t="shared" si="11"/>
        <v>16871.373073298484</v>
      </c>
      <c r="J136" s="26">
        <f t="shared" si="16"/>
        <v>1173250</v>
      </c>
      <c r="K136" s="2">
        <f t="shared" si="12"/>
        <v>616140.96161577199</v>
      </c>
    </row>
    <row r="137" spans="5:11" x14ac:dyDescent="0.25">
      <c r="E137">
        <v>0.13100000000000001</v>
      </c>
      <c r="F137" s="2">
        <f t="shared" si="13"/>
        <v>6684.1270243017425</v>
      </c>
      <c r="G137" s="2">
        <f t="shared" si="14"/>
        <v>2406285.7287486275</v>
      </c>
      <c r="H137" s="26">
        <f t="shared" si="15"/>
        <v>1806285.7287486275</v>
      </c>
      <c r="I137" s="26">
        <f t="shared" ref="I137:I200" si="17">H137-H136</f>
        <v>16894.767132855486</v>
      </c>
      <c r="J137" s="26">
        <f t="shared" si="16"/>
        <v>1182275</v>
      </c>
      <c r="K137" s="2">
        <f t="shared" si="12"/>
        <v>624010.72874862747</v>
      </c>
    </row>
    <row r="138" spans="5:11" x14ac:dyDescent="0.25">
      <c r="E138">
        <v>0.13200000000000001</v>
      </c>
      <c r="F138" s="2">
        <f t="shared" si="13"/>
        <v>6731.1207327579395</v>
      </c>
      <c r="G138" s="2">
        <f t="shared" si="14"/>
        <v>2423203.4637928582</v>
      </c>
      <c r="H138" s="26">
        <f t="shared" si="15"/>
        <v>1823203.4637928582</v>
      </c>
      <c r="I138" s="26">
        <f t="shared" si="17"/>
        <v>16917.735044230707</v>
      </c>
      <c r="J138" s="26">
        <f t="shared" si="16"/>
        <v>1191300</v>
      </c>
      <c r="K138" s="2">
        <f t="shared" si="12"/>
        <v>631903.46379285818</v>
      </c>
    </row>
    <row r="139" spans="5:11" x14ac:dyDescent="0.25">
      <c r="E139">
        <v>0.13300000000000001</v>
      </c>
      <c r="F139" s="2">
        <f t="shared" si="13"/>
        <v>6778.17707356561</v>
      </c>
      <c r="G139" s="2">
        <f t="shared" si="14"/>
        <v>2440143.7464836198</v>
      </c>
      <c r="H139" s="26">
        <f t="shared" si="15"/>
        <v>1840143.7464836198</v>
      </c>
      <c r="I139" s="26">
        <f t="shared" si="17"/>
        <v>16940.282690761611</v>
      </c>
      <c r="J139" s="26">
        <f t="shared" si="16"/>
        <v>1200325</v>
      </c>
      <c r="K139" s="2">
        <f t="shared" si="12"/>
        <v>639818.74648361979</v>
      </c>
    </row>
    <row r="140" spans="5:11" x14ac:dyDescent="0.25">
      <c r="E140">
        <v>0.13400000000000001</v>
      </c>
      <c r="F140" s="2">
        <f t="shared" si="13"/>
        <v>6825.2948956084347</v>
      </c>
      <c r="G140" s="2">
        <f t="shared" si="14"/>
        <v>2457106.1624190365</v>
      </c>
      <c r="H140" s="26">
        <f t="shared" si="15"/>
        <v>1857106.1624190365</v>
      </c>
      <c r="I140" s="26">
        <f t="shared" si="17"/>
        <v>16962.415935416706</v>
      </c>
      <c r="J140" s="26">
        <f t="shared" si="16"/>
        <v>1209350</v>
      </c>
      <c r="K140" s="2">
        <f t="shared" si="12"/>
        <v>647756.1624190365</v>
      </c>
    </row>
    <row r="141" spans="5:11" x14ac:dyDescent="0.25">
      <c r="E141">
        <v>0.13500000000000001</v>
      </c>
      <c r="F141" s="2">
        <f t="shared" si="13"/>
        <v>6872.4730639934642</v>
      </c>
      <c r="G141" s="2">
        <f t="shared" si="14"/>
        <v>2474090.3030376472</v>
      </c>
      <c r="H141" s="26">
        <f t="shared" si="15"/>
        <v>1874090.3030376472</v>
      </c>
      <c r="I141" s="26">
        <f t="shared" si="17"/>
        <v>16984.140618610661</v>
      </c>
      <c r="J141" s="26">
        <f t="shared" si="16"/>
        <v>1218375</v>
      </c>
      <c r="K141" s="2">
        <f t="shared" si="12"/>
        <v>655715.30303764716</v>
      </c>
    </row>
    <row r="142" spans="5:11" x14ac:dyDescent="0.25">
      <c r="E142">
        <v>0.13600000000000001</v>
      </c>
      <c r="F142" s="2">
        <f t="shared" si="13"/>
        <v>6919.7104599826107</v>
      </c>
      <c r="G142" s="2">
        <f t="shared" si="14"/>
        <v>2491095.7655937397</v>
      </c>
      <c r="H142" s="26">
        <f t="shared" si="15"/>
        <v>1891095.7655937397</v>
      </c>
      <c r="I142" s="26">
        <f t="shared" si="17"/>
        <v>17005.462556092534</v>
      </c>
      <c r="J142" s="26">
        <f t="shared" si="16"/>
        <v>1227400</v>
      </c>
      <c r="K142" s="2">
        <f t="shared" si="12"/>
        <v>663695.76559373969</v>
      </c>
    </row>
    <row r="143" spans="5:11" x14ac:dyDescent="0.25">
      <c r="E143">
        <v>0.13700000000000001</v>
      </c>
      <c r="F143" s="2">
        <f t="shared" si="13"/>
        <v>6967.0059809185332</v>
      </c>
      <c r="G143" s="2">
        <f t="shared" si="14"/>
        <v>2508122.1531306719</v>
      </c>
      <c r="H143" s="26">
        <f t="shared" si="15"/>
        <v>1908122.1531306719</v>
      </c>
      <c r="I143" s="26">
        <f t="shared" si="17"/>
        <v>17026.387536932249</v>
      </c>
      <c r="J143" s="26">
        <f t="shared" si="16"/>
        <v>1236425</v>
      </c>
      <c r="K143" s="2">
        <f t="shared" si="12"/>
        <v>671697.15313067194</v>
      </c>
    </row>
    <row r="144" spans="5:11" x14ac:dyDescent="0.25">
      <c r="E144">
        <v>0.13800000000000001</v>
      </c>
      <c r="F144" s="2">
        <f t="shared" si="13"/>
        <v>7014.3585401451355</v>
      </c>
      <c r="G144" s="2">
        <f t="shared" si="14"/>
        <v>2525169.0744522489</v>
      </c>
      <c r="H144" s="26">
        <f t="shared" si="15"/>
        <v>1925169.0744522489</v>
      </c>
      <c r="I144" s="26">
        <f t="shared" si="17"/>
        <v>17046.921321576927</v>
      </c>
      <c r="J144" s="26">
        <f t="shared" si="16"/>
        <v>1245450</v>
      </c>
      <c r="K144" s="2">
        <f t="shared" si="12"/>
        <v>679719.07445224887</v>
      </c>
    </row>
    <row r="145" spans="5:11" x14ac:dyDescent="0.25">
      <c r="E145">
        <v>0.13900000000000001</v>
      </c>
      <c r="F145" s="2">
        <f t="shared" si="13"/>
        <v>7061.7670669228883</v>
      </c>
      <c r="G145" s="2">
        <f t="shared" si="14"/>
        <v>2542236.1440922399</v>
      </c>
      <c r="H145" s="26">
        <f t="shared" si="15"/>
        <v>1942236.1440922399</v>
      </c>
      <c r="I145" s="26">
        <f t="shared" si="17"/>
        <v>17067.069639991038</v>
      </c>
      <c r="J145" s="26">
        <f t="shared" si="16"/>
        <v>1254475.0000000002</v>
      </c>
      <c r="K145" s="2">
        <f t="shared" si="12"/>
        <v>687761.14409223967</v>
      </c>
    </row>
    <row r="146" spans="5:11" x14ac:dyDescent="0.25">
      <c r="E146">
        <v>0.14000000000000001</v>
      </c>
      <c r="F146" s="2">
        <f t="shared" si="13"/>
        <v>7109.2305063392077</v>
      </c>
      <c r="G146" s="2">
        <f t="shared" si="14"/>
        <v>2559322.9822821147</v>
      </c>
      <c r="H146" s="26">
        <f t="shared" si="15"/>
        <v>1959322.9822821147</v>
      </c>
      <c r="I146" s="26">
        <f t="shared" si="17"/>
        <v>17086.838189874776</v>
      </c>
      <c r="J146" s="26">
        <f t="shared" si="16"/>
        <v>1263500.0000000002</v>
      </c>
      <c r="K146" s="2">
        <f t="shared" si="12"/>
        <v>695822.98228211445</v>
      </c>
    </row>
    <row r="147" spans="5:11" x14ac:dyDescent="0.25">
      <c r="E147">
        <v>0.14099999999999999</v>
      </c>
      <c r="F147" s="2">
        <f t="shared" si="13"/>
        <v>7156.7478192141189</v>
      </c>
      <c r="G147" s="2">
        <f t="shared" si="14"/>
        <v>2576429.2149170828</v>
      </c>
      <c r="H147" s="26">
        <f t="shared" si="15"/>
        <v>1976429.2149170828</v>
      </c>
      <c r="I147" s="26">
        <f t="shared" si="17"/>
        <v>17106.232634968124</v>
      </c>
      <c r="J147" s="26">
        <f t="shared" si="16"/>
        <v>1272524.9999999998</v>
      </c>
      <c r="K147" s="2">
        <f t="shared" si="12"/>
        <v>703904.21491708304</v>
      </c>
    </row>
    <row r="148" spans="5:11" x14ac:dyDescent="0.25">
      <c r="E148">
        <v>0.14199999999999999</v>
      </c>
      <c r="F148" s="2">
        <f t="shared" si="13"/>
        <v>7204.317982001392</v>
      </c>
      <c r="G148" s="2">
        <f t="shared" si="14"/>
        <v>2593554.4735205011</v>
      </c>
      <c r="H148" s="26">
        <f t="shared" si="15"/>
        <v>1993554.4735205011</v>
      </c>
      <c r="I148" s="26">
        <f t="shared" si="17"/>
        <v>17125.258603418246</v>
      </c>
      <c r="J148" s="26">
        <f t="shared" si="16"/>
        <v>1281549.9999999998</v>
      </c>
      <c r="K148" s="2">
        <f t="shared" si="12"/>
        <v>712004.47352050128</v>
      </c>
    </row>
    <row r="149" spans="5:11" x14ac:dyDescent="0.25">
      <c r="E149">
        <v>0.14299999999999999</v>
      </c>
      <c r="F149" s="2">
        <f t="shared" si="13"/>
        <v>7251.9399866853664</v>
      </c>
      <c r="G149" s="2">
        <f t="shared" si="14"/>
        <v>2610698.3952067317</v>
      </c>
      <c r="H149" s="26">
        <f t="shared" si="15"/>
        <v>2010698.3952067317</v>
      </c>
      <c r="I149" s="26">
        <f t="shared" si="17"/>
        <v>17143.921686230693</v>
      </c>
      <c r="J149" s="26">
        <f t="shared" si="16"/>
        <v>1290575</v>
      </c>
      <c r="K149" s="2">
        <f t="shared" si="12"/>
        <v>720123.39520673174</v>
      </c>
    </row>
    <row r="150" spans="5:11" x14ac:dyDescent="0.25">
      <c r="E150">
        <v>0.14399999999999999</v>
      </c>
      <c r="F150" s="2">
        <f t="shared" si="13"/>
        <v>7299.6128406736843</v>
      </c>
      <c r="G150" s="2">
        <f t="shared" si="14"/>
        <v>2627860.6226425264</v>
      </c>
      <c r="H150" s="26">
        <f t="shared" si="15"/>
        <v>2027860.6226425264</v>
      </c>
      <c r="I150" s="26">
        <f t="shared" si="17"/>
        <v>17162.227435794659</v>
      </c>
      <c r="J150" s="26">
        <f t="shared" si="16"/>
        <v>1299600</v>
      </c>
      <c r="K150" s="2">
        <f t="shared" si="12"/>
        <v>728260.6226425264</v>
      </c>
    </row>
    <row r="151" spans="5:11" x14ac:dyDescent="0.25">
      <c r="E151">
        <v>0.14499999999999999</v>
      </c>
      <c r="F151" s="2">
        <f t="shared" si="13"/>
        <v>7347.335566686128</v>
      </c>
      <c r="G151" s="2">
        <f t="shared" si="14"/>
        <v>2645040.8040070059</v>
      </c>
      <c r="H151" s="26">
        <f t="shared" si="15"/>
        <v>2045040.8040070059</v>
      </c>
      <c r="I151" s="26">
        <f t="shared" si="17"/>
        <v>17180.181364479475</v>
      </c>
      <c r="J151" s="26">
        <f t="shared" si="16"/>
        <v>1308625</v>
      </c>
      <c r="K151" s="2">
        <f t="shared" si="12"/>
        <v>736415.80400700588</v>
      </c>
    </row>
    <row r="152" spans="5:11" x14ac:dyDescent="0.25">
      <c r="E152">
        <v>0.14599999999999999</v>
      </c>
      <c r="F152" s="2">
        <f t="shared" si="13"/>
        <v>7395.1072026397369</v>
      </c>
      <c r="G152" s="2">
        <f t="shared" si="14"/>
        <v>2662238.5929503054</v>
      </c>
      <c r="H152" s="26">
        <f t="shared" si="15"/>
        <v>2062238.5929503054</v>
      </c>
      <c r="I152" s="26">
        <f t="shared" si="17"/>
        <v>17197.788943299558</v>
      </c>
      <c r="J152" s="26">
        <f t="shared" si="16"/>
        <v>1317650</v>
      </c>
      <c r="K152" s="2">
        <f t="shared" si="12"/>
        <v>744588.59295030544</v>
      </c>
    </row>
    <row r="153" spans="5:11" x14ac:dyDescent="0.25">
      <c r="E153">
        <v>0.14699999999999999</v>
      </c>
      <c r="F153" s="2">
        <f t="shared" si="13"/>
        <v>7442.9268015304406</v>
      </c>
      <c r="G153" s="2">
        <f t="shared" si="14"/>
        <v>2679453.6485509584</v>
      </c>
      <c r="H153" s="26">
        <f t="shared" si="15"/>
        <v>2079453.6485509584</v>
      </c>
      <c r="I153" s="26">
        <f t="shared" si="17"/>
        <v>17215.055600652937</v>
      </c>
      <c r="J153" s="26">
        <f t="shared" si="16"/>
        <v>1326675</v>
      </c>
      <c r="K153" s="2">
        <f t="shared" si="12"/>
        <v>752778.64855095837</v>
      </c>
    </row>
    <row r="154" spans="5:11" x14ac:dyDescent="0.25">
      <c r="E154">
        <v>0.14799999999999999</v>
      </c>
      <c r="F154" s="2">
        <f t="shared" si="13"/>
        <v>7490.7934313113519</v>
      </c>
      <c r="G154" s="2">
        <f t="shared" si="14"/>
        <v>2696685.6352720866</v>
      </c>
      <c r="H154" s="26">
        <f t="shared" si="15"/>
        <v>2096685.6352720866</v>
      </c>
      <c r="I154" s="26">
        <f t="shared" si="17"/>
        <v>17231.986721128225</v>
      </c>
      <c r="J154" s="26">
        <f t="shared" si="16"/>
        <v>1335700</v>
      </c>
      <c r="K154" s="2">
        <f t="shared" si="12"/>
        <v>760985.6352720866</v>
      </c>
    </row>
    <row r="155" spans="5:11" x14ac:dyDescent="0.25">
      <c r="E155">
        <v>0.14899999999999999</v>
      </c>
      <c r="F155" s="2">
        <f t="shared" si="13"/>
        <v>7538.7061747679418</v>
      </c>
      <c r="G155" s="2">
        <f t="shared" si="14"/>
        <v>2713934.2229164592</v>
      </c>
      <c r="H155" s="26">
        <f t="shared" si="15"/>
        <v>2113934.2229164592</v>
      </c>
      <c r="I155" s="26">
        <f t="shared" si="17"/>
        <v>17248.587644372601</v>
      </c>
      <c r="J155" s="26">
        <f t="shared" si="16"/>
        <v>1344725</v>
      </c>
      <c r="K155" s="2">
        <f t="shared" si="12"/>
        <v>769209.2229164592</v>
      </c>
    </row>
    <row r="156" spans="5:11" x14ac:dyDescent="0.25">
      <c r="E156">
        <v>0.15</v>
      </c>
      <c r="F156" s="2">
        <f t="shared" si="13"/>
        <v>7586.6641293902603</v>
      </c>
      <c r="G156" s="2">
        <f t="shared" si="14"/>
        <v>2731199.0865804935</v>
      </c>
      <c r="H156" s="26">
        <f t="shared" si="15"/>
        <v>2131199.0865804935</v>
      </c>
      <c r="I156" s="26">
        <f t="shared" si="17"/>
        <v>17264.863664034288</v>
      </c>
      <c r="J156" s="26">
        <f t="shared" si="16"/>
        <v>1353750</v>
      </c>
      <c r="K156" s="2">
        <f t="shared" si="12"/>
        <v>777449.08658049349</v>
      </c>
    </row>
    <row r="157" spans="5:11" x14ac:dyDescent="0.25">
      <c r="E157">
        <v>0.151</v>
      </c>
      <c r="F157" s="2">
        <f t="shared" si="13"/>
        <v>7634.6664072423728</v>
      </c>
      <c r="G157" s="2">
        <f t="shared" si="14"/>
        <v>2748479.9066072544</v>
      </c>
      <c r="H157" s="26">
        <f t="shared" si="15"/>
        <v>2148479.9066072544</v>
      </c>
      <c r="I157" s="26">
        <f t="shared" si="17"/>
        <v>17280.820026760921</v>
      </c>
      <c r="J157" s="26">
        <f t="shared" si="16"/>
        <v>1362775</v>
      </c>
      <c r="K157" s="2">
        <f t="shared" si="12"/>
        <v>785704.90660725441</v>
      </c>
    </row>
    <row r="158" spans="5:11" x14ac:dyDescent="0.25">
      <c r="E158">
        <v>0.152</v>
      </c>
      <c r="F158" s="2">
        <f t="shared" si="13"/>
        <v>7682.7121348292176</v>
      </c>
      <c r="G158" s="2">
        <f t="shared" si="14"/>
        <v>2765776.3685385184</v>
      </c>
      <c r="H158" s="26">
        <f t="shared" si="15"/>
        <v>2165776.3685385184</v>
      </c>
      <c r="I158" s="26">
        <f t="shared" si="17"/>
        <v>17296.461931264028</v>
      </c>
      <c r="J158" s="26">
        <f t="shared" si="16"/>
        <v>1371800</v>
      </c>
      <c r="K158" s="2">
        <f t="shared" si="12"/>
        <v>793976.36853851844</v>
      </c>
    </row>
    <row r="159" spans="5:11" x14ac:dyDescent="0.25">
      <c r="E159">
        <v>0.153</v>
      </c>
      <c r="F159" s="2">
        <f t="shared" si="13"/>
        <v>7730.800452961008</v>
      </c>
      <c r="G159" s="2">
        <f t="shared" si="14"/>
        <v>2783088.163065963</v>
      </c>
      <c r="H159" s="26">
        <f t="shared" si="15"/>
        <v>2183088.163065963</v>
      </c>
      <c r="I159" s="26">
        <f t="shared" si="17"/>
        <v>17311.794527444523</v>
      </c>
      <c r="J159" s="26">
        <f t="shared" si="16"/>
        <v>1380825</v>
      </c>
      <c r="K159" s="2">
        <f t="shared" si="12"/>
        <v>802263.16306596296</v>
      </c>
    </row>
    <row r="160" spans="5:11" x14ac:dyDescent="0.25">
      <c r="E160">
        <v>0.154</v>
      </c>
      <c r="F160" s="2">
        <f t="shared" si="13"/>
        <v>7778.9305166153872</v>
      </c>
      <c r="G160" s="2">
        <f t="shared" si="14"/>
        <v>2800414.9859815394</v>
      </c>
      <c r="H160" s="26">
        <f t="shared" si="15"/>
        <v>2200414.9859815394</v>
      </c>
      <c r="I160" s="26">
        <f t="shared" si="17"/>
        <v>17326.822915576398</v>
      </c>
      <c r="J160" s="26">
        <f t="shared" si="16"/>
        <v>1389850</v>
      </c>
      <c r="K160" s="2">
        <f t="shared" si="12"/>
        <v>810564.98598153936</v>
      </c>
    </row>
    <row r="161" spans="5:11" x14ac:dyDescent="0.25">
      <c r="E161">
        <v>0.155</v>
      </c>
      <c r="F161" s="2">
        <f t="shared" si="13"/>
        <v>7827.1014947974645</v>
      </c>
      <c r="G161" s="2">
        <f t="shared" si="14"/>
        <v>2817756.5381270871</v>
      </c>
      <c r="H161" s="26">
        <f t="shared" si="15"/>
        <v>2217756.5381270871</v>
      </c>
      <c r="I161" s="26">
        <f t="shared" si="17"/>
        <v>17341.552145547699</v>
      </c>
      <c r="J161" s="26">
        <f t="shared" si="16"/>
        <v>1398875</v>
      </c>
      <c r="K161" s="2">
        <f t="shared" si="12"/>
        <v>818881.53812708706</v>
      </c>
    </row>
    <row r="162" spans="5:11" x14ac:dyDescent="0.25">
      <c r="E162">
        <v>0.156</v>
      </c>
      <c r="F162" s="2">
        <f t="shared" si="13"/>
        <v>7875.3125703979103</v>
      </c>
      <c r="G162" s="2">
        <f t="shared" si="14"/>
        <v>2835112.5253432477</v>
      </c>
      <c r="H162" s="26">
        <f t="shared" si="15"/>
        <v>2235112.5253432477</v>
      </c>
      <c r="I162" s="26">
        <f t="shared" si="17"/>
        <v>17355.987216160633</v>
      </c>
      <c r="J162" s="26">
        <f t="shared" si="16"/>
        <v>1407900</v>
      </c>
      <c r="K162" s="2">
        <f t="shared" si="12"/>
        <v>827212.52534324769</v>
      </c>
    </row>
    <row r="163" spans="5:11" x14ac:dyDescent="0.25">
      <c r="E163">
        <v>0.157</v>
      </c>
      <c r="F163" s="2">
        <f t="shared" si="13"/>
        <v>7923.5629400492498</v>
      </c>
      <c r="G163" s="2">
        <f t="shared" si="14"/>
        <v>2852482.6584177301</v>
      </c>
      <c r="H163" s="26">
        <f t="shared" si="15"/>
        <v>2252482.6584177301</v>
      </c>
      <c r="I163" s="26">
        <f t="shared" si="17"/>
        <v>17370.133074482437</v>
      </c>
      <c r="J163" s="26">
        <f t="shared" si="16"/>
        <v>1416925</v>
      </c>
      <c r="K163" s="2">
        <f t="shared" si="12"/>
        <v>835557.65841773013</v>
      </c>
    </row>
    <row r="164" spans="5:11" x14ac:dyDescent="0.25">
      <c r="E164">
        <v>0.158</v>
      </c>
      <c r="F164" s="2">
        <f t="shared" si="13"/>
        <v>7971.8518139805037</v>
      </c>
      <c r="G164" s="2">
        <f t="shared" si="14"/>
        <v>2869866.6530329813</v>
      </c>
      <c r="H164" s="26">
        <f t="shared" si="15"/>
        <v>2269866.6530329813</v>
      </c>
      <c r="I164" s="26">
        <f t="shared" si="17"/>
        <v>17383.994615251198</v>
      </c>
      <c r="J164" s="26">
        <f t="shared" si="16"/>
        <v>1425950</v>
      </c>
      <c r="K164" s="2">
        <f t="shared" si="12"/>
        <v>843916.65303298132</v>
      </c>
    </row>
    <row r="165" spans="5:11" x14ac:dyDescent="0.25">
      <c r="E165">
        <v>0.159</v>
      </c>
      <c r="F165" s="2">
        <f t="shared" si="13"/>
        <v>8020.1784158703413</v>
      </c>
      <c r="G165" s="2">
        <f t="shared" si="14"/>
        <v>2887264.2297133231</v>
      </c>
      <c r="H165" s="26">
        <f t="shared" si="15"/>
        <v>2287264.2297133231</v>
      </c>
      <c r="I165" s="26">
        <f t="shared" si="17"/>
        <v>17397.576680341735</v>
      </c>
      <c r="J165" s="26">
        <f t="shared" si="16"/>
        <v>1434975</v>
      </c>
      <c r="K165" s="2">
        <f t="shared" si="12"/>
        <v>852289.22971332306</v>
      </c>
    </row>
    <row r="166" spans="5:11" x14ac:dyDescent="0.25">
      <c r="E166">
        <v>0.16</v>
      </c>
      <c r="F166" s="2">
        <f t="shared" si="13"/>
        <v>8068.5419826988427</v>
      </c>
      <c r="G166" s="2">
        <f t="shared" si="14"/>
        <v>2904675.1137715834</v>
      </c>
      <c r="H166" s="26">
        <f t="shared" si="15"/>
        <v>2304675.1137715834</v>
      </c>
      <c r="I166" s="26">
        <f t="shared" si="17"/>
        <v>17410.884058260359</v>
      </c>
      <c r="J166" s="26">
        <f t="shared" si="16"/>
        <v>1444000</v>
      </c>
      <c r="K166" s="2">
        <f t="shared" si="12"/>
        <v>860675.11377158342</v>
      </c>
    </row>
    <row r="167" spans="5:11" x14ac:dyDescent="0.25">
      <c r="E167">
        <v>0.161</v>
      </c>
      <c r="F167" s="2">
        <f t="shared" si="13"/>
        <v>8116.941764598052</v>
      </c>
      <c r="G167" s="2">
        <f t="shared" si="14"/>
        <v>2922099.0352552989</v>
      </c>
      <c r="H167" s="26">
        <f t="shared" si="15"/>
        <v>2322099.0352552989</v>
      </c>
      <c r="I167" s="26">
        <f t="shared" si="17"/>
        <v>17423.92148371553</v>
      </c>
      <c r="J167" s="26">
        <f t="shared" si="16"/>
        <v>1453025</v>
      </c>
      <c r="K167" s="2">
        <f t="shared" si="12"/>
        <v>869074.03525529895</v>
      </c>
    </row>
    <row r="168" spans="5:11" x14ac:dyDescent="0.25">
      <c r="E168">
        <v>0.16200000000000001</v>
      </c>
      <c r="F168" s="2">
        <f t="shared" si="13"/>
        <v>8165.3770247014199</v>
      </c>
      <c r="G168" s="2">
        <f t="shared" si="14"/>
        <v>2939535.7288925112</v>
      </c>
      <c r="H168" s="26">
        <f t="shared" si="15"/>
        <v>2339535.7288925112</v>
      </c>
      <c r="I168" s="26">
        <f t="shared" si="17"/>
        <v>17436.693637212273</v>
      </c>
      <c r="J168" s="26">
        <f t="shared" si="16"/>
        <v>1462050</v>
      </c>
      <c r="K168" s="2">
        <f t="shared" si="12"/>
        <v>877485.72889251122</v>
      </c>
    </row>
    <row r="169" spans="5:11" x14ac:dyDescent="0.25">
      <c r="E169">
        <v>0.16300000000000001</v>
      </c>
      <c r="F169" s="2">
        <f t="shared" si="13"/>
        <v>8213.8470389922913</v>
      </c>
      <c r="G169" s="2">
        <f t="shared" si="14"/>
        <v>2956984.9340372249</v>
      </c>
      <c r="H169" s="26">
        <f t="shared" si="15"/>
        <v>2356984.9340372249</v>
      </c>
      <c r="I169" s="26">
        <f t="shared" si="17"/>
        <v>17449.205144713633</v>
      </c>
      <c r="J169" s="26">
        <f t="shared" si="16"/>
        <v>1471075</v>
      </c>
      <c r="K169" s="2">
        <f t="shared" si="12"/>
        <v>885909.93403722486</v>
      </c>
    </row>
    <row r="170" spans="5:11" x14ac:dyDescent="0.25">
      <c r="E170">
        <v>0.16400000000000001</v>
      </c>
      <c r="F170" s="2">
        <f t="shared" si="13"/>
        <v>8262.3510961515185</v>
      </c>
      <c r="G170" s="2">
        <f t="shared" si="14"/>
        <v>2974446.3946145466</v>
      </c>
      <c r="H170" s="26">
        <f t="shared" si="15"/>
        <v>2374446.3946145466</v>
      </c>
      <c r="I170" s="26">
        <f t="shared" si="17"/>
        <v>17461.460577321704</v>
      </c>
      <c r="J170" s="26">
        <f t="shared" si="16"/>
        <v>1480100</v>
      </c>
      <c r="K170" s="2">
        <f t="shared" si="12"/>
        <v>894346.39461454656</v>
      </c>
    </row>
    <row r="171" spans="5:11" x14ac:dyDescent="0.25">
      <c r="E171">
        <v>0.16500000000000001</v>
      </c>
      <c r="F171" s="2">
        <f t="shared" si="13"/>
        <v>8310.8884974043867</v>
      </c>
      <c r="G171" s="2">
        <f t="shared" si="14"/>
        <v>2991919.8590655793</v>
      </c>
      <c r="H171" s="26">
        <f t="shared" si="15"/>
        <v>2391919.8590655793</v>
      </c>
      <c r="I171" s="26">
        <f t="shared" si="17"/>
        <v>17473.464451032691</v>
      </c>
      <c r="J171" s="26">
        <f t="shared" si="16"/>
        <v>1489125</v>
      </c>
      <c r="K171" s="2">
        <f t="shared" si="12"/>
        <v>902794.85906557925</v>
      </c>
    </row>
    <row r="172" spans="5:11" x14ac:dyDescent="0.25">
      <c r="E172">
        <v>0.16600000000000001</v>
      </c>
      <c r="F172" s="2">
        <f t="shared" si="13"/>
        <v>8359.4585563668861</v>
      </c>
      <c r="G172" s="2">
        <f t="shared" si="14"/>
        <v>3009405.0802920791</v>
      </c>
      <c r="H172" s="26">
        <f t="shared" si="15"/>
        <v>2409405.0802920791</v>
      </c>
      <c r="I172" s="26">
        <f t="shared" si="17"/>
        <v>17485.221226499882</v>
      </c>
      <c r="J172" s="26">
        <f t="shared" si="16"/>
        <v>1498150</v>
      </c>
      <c r="K172" s="2">
        <f t="shared" si="12"/>
        <v>911255.08029207913</v>
      </c>
    </row>
    <row r="173" spans="5:11" x14ac:dyDescent="0.25">
      <c r="E173">
        <v>0.16700000000000001</v>
      </c>
      <c r="F173" s="2">
        <f t="shared" si="13"/>
        <v>8408.0605988915122</v>
      </c>
      <c r="G173" s="2">
        <f t="shared" si="14"/>
        <v>3026901.8156009442</v>
      </c>
      <c r="H173" s="26">
        <f t="shared" si="15"/>
        <v>2426901.8156009442</v>
      </c>
      <c r="I173" s="26">
        <f t="shared" si="17"/>
        <v>17496.735308865085</v>
      </c>
      <c r="J173" s="26">
        <f t="shared" si="16"/>
        <v>1507175</v>
      </c>
      <c r="K173" s="2">
        <f t="shared" si="12"/>
        <v>919726.81560094422</v>
      </c>
    </row>
    <row r="174" spans="5:11" x14ac:dyDescent="0.25">
      <c r="E174">
        <v>0.16800000000000001</v>
      </c>
      <c r="F174" s="2">
        <f t="shared" si="13"/>
        <v>8456.6939629126664</v>
      </c>
      <c r="G174" s="2">
        <f t="shared" si="14"/>
        <v>3044409.8266485599</v>
      </c>
      <c r="H174" s="26">
        <f t="shared" si="15"/>
        <v>2444409.8266485599</v>
      </c>
      <c r="I174" s="26">
        <f t="shared" si="17"/>
        <v>17508.01104761567</v>
      </c>
      <c r="J174" s="26">
        <f t="shared" si="16"/>
        <v>1516200</v>
      </c>
      <c r="K174" s="2">
        <f t="shared" si="12"/>
        <v>928209.82664855989</v>
      </c>
    </row>
    <row r="175" spans="5:11" x14ac:dyDescent="0.25">
      <c r="E175">
        <v>0.16900000000000001</v>
      </c>
      <c r="F175" s="2">
        <f t="shared" si="13"/>
        <v>8505.3579982917654</v>
      </c>
      <c r="G175" s="2">
        <f t="shared" si="14"/>
        <v>3061928.8793850355</v>
      </c>
      <c r="H175" s="26">
        <f t="shared" si="15"/>
        <v>2461928.8793850355</v>
      </c>
      <c r="I175" s="26">
        <f t="shared" si="17"/>
        <v>17519.052736475598</v>
      </c>
      <c r="J175" s="26">
        <f t="shared" si="16"/>
        <v>1525225</v>
      </c>
      <c r="K175" s="2">
        <f t="shared" si="12"/>
        <v>936703.87938503549</v>
      </c>
    </row>
    <row r="176" spans="5:11" x14ac:dyDescent="0.25">
      <c r="E176">
        <v>0.17</v>
      </c>
      <c r="F176" s="2">
        <f t="shared" si="13"/>
        <v>8554.0520666621651</v>
      </c>
      <c r="G176" s="2">
        <f t="shared" si="14"/>
        <v>3079458.7439983794</v>
      </c>
      <c r="H176" s="26">
        <f t="shared" si="15"/>
        <v>2479458.7439983794</v>
      </c>
      <c r="I176" s="26">
        <f t="shared" si="17"/>
        <v>17529.864613343962</v>
      </c>
      <c r="J176" s="26">
        <f t="shared" si="16"/>
        <v>1534250.0000000002</v>
      </c>
      <c r="K176" s="2">
        <f t="shared" si="12"/>
        <v>945208.74399837921</v>
      </c>
    </row>
    <row r="177" spans="5:11" x14ac:dyDescent="0.25">
      <c r="E177">
        <v>0.17100000000000001</v>
      </c>
      <c r="F177" s="2">
        <f t="shared" si="13"/>
        <v>8602.7755412740007</v>
      </c>
      <c r="G177" s="2">
        <f t="shared" si="14"/>
        <v>3096999.1948586404</v>
      </c>
      <c r="H177" s="26">
        <f t="shared" si="15"/>
        <v>2496999.1948586404</v>
      </c>
      <c r="I177" s="26">
        <f t="shared" si="17"/>
        <v>17540.450860260986</v>
      </c>
      <c r="J177" s="26">
        <f t="shared" si="16"/>
        <v>1543275.0000000002</v>
      </c>
      <c r="K177" s="2">
        <f t="shared" si="12"/>
        <v>953724.1948586402</v>
      </c>
    </row>
    <row r="178" spans="5:11" x14ac:dyDescent="0.25">
      <c r="E178">
        <v>0.17199999999999999</v>
      </c>
      <c r="F178" s="2">
        <f t="shared" si="13"/>
        <v>8651.5278068390126</v>
      </c>
      <c r="G178" s="2">
        <f t="shared" si="14"/>
        <v>3114550.0104620447</v>
      </c>
      <c r="H178" s="26">
        <f t="shared" si="15"/>
        <v>2514550.0104620447</v>
      </c>
      <c r="I178" s="26">
        <f t="shared" si="17"/>
        <v>17550.815603404306</v>
      </c>
      <c r="J178" s="26">
        <f t="shared" si="16"/>
        <v>1552299.9999999998</v>
      </c>
      <c r="K178" s="2">
        <f t="shared" si="12"/>
        <v>962250.01046204497</v>
      </c>
    </row>
    <row r="179" spans="5:11" x14ac:dyDescent="0.25">
      <c r="E179">
        <v>0.17299999999999999</v>
      </c>
      <c r="F179" s="2">
        <f t="shared" si="13"/>
        <v>8700.3082593754843</v>
      </c>
      <c r="G179" s="2">
        <f t="shared" si="14"/>
        <v>3132110.9733751742</v>
      </c>
      <c r="H179" s="26">
        <f t="shared" si="15"/>
        <v>2532110.9733751742</v>
      </c>
      <c r="I179" s="26">
        <f t="shared" si="17"/>
        <v>17560.962913129479</v>
      </c>
      <c r="J179" s="26">
        <f t="shared" si="16"/>
        <v>1561324.9999999998</v>
      </c>
      <c r="K179" s="2">
        <f t="shared" si="12"/>
        <v>970785.97337517445</v>
      </c>
    </row>
    <row r="180" spans="5:11" x14ac:dyDescent="0.25">
      <c r="E180">
        <v>0.17399999999999999</v>
      </c>
      <c r="F180" s="2">
        <f t="shared" si="13"/>
        <v>8749.1163060533399</v>
      </c>
      <c r="G180" s="2">
        <f t="shared" si="14"/>
        <v>3149681.8701792024</v>
      </c>
      <c r="H180" s="26">
        <f t="shared" si="15"/>
        <v>2549681.8701792024</v>
      </c>
      <c r="I180" s="26">
        <f t="shared" si="17"/>
        <v>17570.896804028191</v>
      </c>
      <c r="J180" s="26">
        <f t="shared" si="16"/>
        <v>1570350</v>
      </c>
      <c r="K180" s="2">
        <f t="shared" si="12"/>
        <v>979331.87017920241</v>
      </c>
    </row>
    <row r="181" spans="5:11" x14ac:dyDescent="0.25">
      <c r="E181">
        <v>0.17499999999999999</v>
      </c>
      <c r="F181" s="2">
        <f t="shared" si="13"/>
        <v>8797.9513650395238</v>
      </c>
      <c r="G181" s="2">
        <f t="shared" si="14"/>
        <v>3167262.4914142285</v>
      </c>
      <c r="H181" s="26">
        <f t="shared" si="15"/>
        <v>2567262.4914142285</v>
      </c>
      <c r="I181" s="26">
        <f t="shared" si="17"/>
        <v>17580.621235026047</v>
      </c>
      <c r="J181" s="26">
        <f t="shared" si="16"/>
        <v>1579375</v>
      </c>
      <c r="K181" s="2">
        <f t="shared" si="12"/>
        <v>987887.49141422845</v>
      </c>
    </row>
    <row r="182" spans="5:11" x14ac:dyDescent="0.25">
      <c r="E182">
        <v>0.17599999999999999</v>
      </c>
      <c r="F182" s="2">
        <f t="shared" si="13"/>
        <v>8846.8128653436997</v>
      </c>
      <c r="G182" s="2">
        <f t="shared" si="14"/>
        <v>3184852.6315237321</v>
      </c>
      <c r="H182" s="26">
        <f t="shared" si="15"/>
        <v>2584852.6315237321</v>
      </c>
      <c r="I182" s="26">
        <f t="shared" si="17"/>
        <v>17590.140109503642</v>
      </c>
      <c r="J182" s="26">
        <f t="shared" si="16"/>
        <v>1588400</v>
      </c>
      <c r="K182" s="2">
        <f t="shared" si="12"/>
        <v>996452.6315237321</v>
      </c>
    </row>
    <row r="183" spans="5:11" x14ac:dyDescent="0.25">
      <c r="E183">
        <v>0.17699999999999999</v>
      </c>
      <c r="F183" s="2">
        <f t="shared" si="13"/>
        <v>8895.7002466643717</v>
      </c>
      <c r="G183" s="2">
        <f t="shared" si="14"/>
        <v>3202452.0887991739</v>
      </c>
      <c r="H183" s="26">
        <f t="shared" si="15"/>
        <v>2602452.0887991739</v>
      </c>
      <c r="I183" s="26">
        <f t="shared" si="17"/>
        <v>17599.457275441848</v>
      </c>
      <c r="J183" s="26">
        <f t="shared" si="16"/>
        <v>1597425</v>
      </c>
      <c r="K183" s="2">
        <f t="shared" si="12"/>
        <v>1005027.0887991739</v>
      </c>
    </row>
    <row r="184" spans="5:11" x14ac:dyDescent="0.25">
      <c r="E184">
        <v>0.17799999999999999</v>
      </c>
      <c r="F184" s="2">
        <f t="shared" si="13"/>
        <v>8944.6129592355028</v>
      </c>
      <c r="G184" s="2">
        <f t="shared" si="14"/>
        <v>3220060.6653247811</v>
      </c>
      <c r="H184" s="26">
        <f t="shared" si="15"/>
        <v>2620060.6653247811</v>
      </c>
      <c r="I184" s="26">
        <f t="shared" si="17"/>
        <v>17608.576525607146</v>
      </c>
      <c r="J184" s="26">
        <f t="shared" si="16"/>
        <v>1606450</v>
      </c>
      <c r="K184" s="2">
        <f t="shared" si="12"/>
        <v>1013610.6653247811</v>
      </c>
    </row>
    <row r="185" spans="5:11" x14ac:dyDescent="0.25">
      <c r="E185">
        <v>0.17899999999999999</v>
      </c>
      <c r="F185" s="2">
        <f t="shared" si="13"/>
        <v>8993.5504636736914</v>
      </c>
      <c r="G185" s="2">
        <f t="shared" si="14"/>
        <v>3237678.1669225288</v>
      </c>
      <c r="H185" s="26">
        <f t="shared" si="15"/>
        <v>2637678.1669225288</v>
      </c>
      <c r="I185" s="26">
        <f t="shared" si="17"/>
        <v>17617.501597747672</v>
      </c>
      <c r="J185" s="26">
        <f t="shared" si="16"/>
        <v>1615475</v>
      </c>
      <c r="K185" s="2">
        <f t="shared" si="12"/>
        <v>1022203.1669225288</v>
      </c>
    </row>
    <row r="186" spans="5:11" x14ac:dyDescent="0.25">
      <c r="E186">
        <v>0.18</v>
      </c>
      <c r="F186" s="2">
        <f t="shared" si="13"/>
        <v>9042.5122308259524</v>
      </c>
      <c r="G186" s="2">
        <f t="shared" si="14"/>
        <v>3255304.4030973427</v>
      </c>
      <c r="H186" s="26">
        <f t="shared" si="15"/>
        <v>2655304.4030973427</v>
      </c>
      <c r="I186" s="26">
        <f t="shared" si="17"/>
        <v>17626.236174813937</v>
      </c>
      <c r="J186" s="26">
        <f t="shared" si="16"/>
        <v>1624500</v>
      </c>
      <c r="K186" s="2">
        <f t="shared" si="12"/>
        <v>1030804.4030973427</v>
      </c>
    </row>
    <row r="187" spans="5:11" x14ac:dyDescent="0.25">
      <c r="E187">
        <v>0.18099999999999999</v>
      </c>
      <c r="F187" s="2">
        <f t="shared" si="13"/>
        <v>9091.4977416182192</v>
      </c>
      <c r="G187" s="2">
        <f t="shared" si="14"/>
        <v>3272939.186982559</v>
      </c>
      <c r="H187" s="26">
        <f t="shared" si="15"/>
        <v>2672939.186982559</v>
      </c>
      <c r="I187" s="26">
        <f t="shared" si="17"/>
        <v>17634.78388521634</v>
      </c>
      <c r="J187" s="26">
        <f t="shared" si="16"/>
        <v>1633525</v>
      </c>
      <c r="K187" s="2">
        <f t="shared" si="12"/>
        <v>1039414.186982559</v>
      </c>
    </row>
    <row r="188" spans="5:11" x14ac:dyDescent="0.25">
      <c r="E188">
        <v>0.182</v>
      </c>
      <c r="F188" s="2">
        <f t="shared" si="13"/>
        <v>9140.5064869045673</v>
      </c>
      <c r="G188" s="2">
        <f t="shared" si="14"/>
        <v>3290582.335285644</v>
      </c>
      <c r="H188" s="26">
        <f t="shared" si="15"/>
        <v>2690582.335285644</v>
      </c>
      <c r="I188" s="26">
        <f t="shared" si="17"/>
        <v>17643.148303085007</v>
      </c>
      <c r="J188" s="26">
        <f t="shared" si="16"/>
        <v>1642550</v>
      </c>
      <c r="K188" s="2">
        <f t="shared" si="12"/>
        <v>1048032.335285644</v>
      </c>
    </row>
    <row r="189" spans="5:11" x14ac:dyDescent="0.25">
      <c r="E189">
        <v>0.183</v>
      </c>
      <c r="F189" s="2">
        <f t="shared" si="13"/>
        <v>9189.5379673172592</v>
      </c>
      <c r="G189" s="2">
        <f t="shared" si="14"/>
        <v>3308233.6682342133</v>
      </c>
      <c r="H189" s="26">
        <f t="shared" si="15"/>
        <v>2708233.6682342133</v>
      </c>
      <c r="I189" s="26">
        <f t="shared" si="17"/>
        <v>17651.332948569208</v>
      </c>
      <c r="J189" s="26">
        <f t="shared" si="16"/>
        <v>1651575</v>
      </c>
      <c r="K189" s="2">
        <f t="shared" si="12"/>
        <v>1056658.6682342133</v>
      </c>
    </row>
    <row r="190" spans="5:11" x14ac:dyDescent="0.25">
      <c r="E190">
        <v>0.184</v>
      </c>
      <c r="F190" s="2">
        <f t="shared" si="13"/>
        <v>9238.5916931176471</v>
      </c>
      <c r="G190" s="2">
        <f t="shared" si="14"/>
        <v>3325893.0095223528</v>
      </c>
      <c r="H190" s="26">
        <f t="shared" si="15"/>
        <v>2725893.0095223528</v>
      </c>
      <c r="I190" s="26">
        <f t="shared" si="17"/>
        <v>17659.341288139578</v>
      </c>
      <c r="J190" s="26">
        <f t="shared" si="16"/>
        <v>1660600</v>
      </c>
      <c r="K190" s="2">
        <f t="shared" si="12"/>
        <v>1065293.0095223528</v>
      </c>
    </row>
    <row r="191" spans="5:11" x14ac:dyDescent="0.25">
      <c r="E191">
        <v>0.185</v>
      </c>
      <c r="F191" s="2">
        <f t="shared" si="13"/>
        <v>9287.6671840479939</v>
      </c>
      <c r="G191" s="2">
        <f t="shared" si="14"/>
        <v>3343560.1862572776</v>
      </c>
      <c r="H191" s="26">
        <f t="shared" si="15"/>
        <v>2743560.1862572776</v>
      </c>
      <c r="I191" s="26">
        <f t="shared" si="17"/>
        <v>17667.176734924782</v>
      </c>
      <c r="J191" s="26">
        <f t="shared" si="16"/>
        <v>1669625</v>
      </c>
      <c r="K191" s="2">
        <f t="shared" si="12"/>
        <v>1073935.1862572776</v>
      </c>
    </row>
    <row r="192" spans="5:11" x14ac:dyDescent="0.25">
      <c r="E192">
        <v>0.186</v>
      </c>
      <c r="F192" s="2">
        <f t="shared" si="13"/>
        <v>9336.7639691842378</v>
      </c>
      <c r="G192" s="2">
        <f t="shared" si="14"/>
        <v>3361235.0289063258</v>
      </c>
      <c r="H192" s="26">
        <f t="shared" si="15"/>
        <v>2761235.0289063258</v>
      </c>
      <c r="I192" s="26">
        <f t="shared" si="17"/>
        <v>17674.842649048194</v>
      </c>
      <c r="J192" s="26">
        <f t="shared" si="16"/>
        <v>1678650</v>
      </c>
      <c r="K192" s="2">
        <f t="shared" si="12"/>
        <v>1082585.0289063258</v>
      </c>
    </row>
    <row r="193" spans="5:11" x14ac:dyDescent="0.25">
      <c r="E193">
        <v>0.187</v>
      </c>
      <c r="F193" s="2">
        <f t="shared" si="13"/>
        <v>9385.8815867898047</v>
      </c>
      <c r="G193" s="2">
        <f t="shared" si="14"/>
        <v>3378917.3712443295</v>
      </c>
      <c r="H193" s="26">
        <f t="shared" si="15"/>
        <v>2778917.3712443295</v>
      </c>
      <c r="I193" s="26">
        <f t="shared" si="17"/>
        <v>17682.342338003684</v>
      </c>
      <c r="J193" s="26">
        <f t="shared" si="16"/>
        <v>1687675</v>
      </c>
      <c r="K193" s="2">
        <f t="shared" si="12"/>
        <v>1091242.3712443295</v>
      </c>
    </row>
    <row r="194" spans="5:11" x14ac:dyDescent="0.25">
      <c r="E194">
        <v>0.188</v>
      </c>
      <c r="F194" s="2">
        <f t="shared" si="13"/>
        <v>9435.019584170439</v>
      </c>
      <c r="G194" s="2">
        <f t="shared" si="14"/>
        <v>3396607.0503013581</v>
      </c>
      <c r="H194" s="26">
        <f t="shared" si="15"/>
        <v>2796607.0503013581</v>
      </c>
      <c r="I194" s="26">
        <f t="shared" si="17"/>
        <v>17689.67905702861</v>
      </c>
      <c r="J194" s="26">
        <f t="shared" si="16"/>
        <v>1696700</v>
      </c>
      <c r="K194" s="2">
        <f t="shared" si="12"/>
        <v>1099907.0503013581</v>
      </c>
    </row>
    <row r="195" spans="5:11" x14ac:dyDescent="0.25">
      <c r="E195">
        <v>0.189</v>
      </c>
      <c r="F195" s="2">
        <f t="shared" si="13"/>
        <v>9484.1775175301427</v>
      </c>
      <c r="G195" s="2">
        <f t="shared" si="14"/>
        <v>3414303.9063108512</v>
      </c>
      <c r="H195" s="26">
        <f t="shared" si="15"/>
        <v>2814303.9063108512</v>
      </c>
      <c r="I195" s="26">
        <f t="shared" si="17"/>
        <v>17696.856009493116</v>
      </c>
      <c r="J195" s="26">
        <f t="shared" si="16"/>
        <v>1705725</v>
      </c>
      <c r="K195" s="2">
        <f t="shared" si="12"/>
        <v>1108578.9063108512</v>
      </c>
    </row>
    <row r="196" spans="5:11" x14ac:dyDescent="0.25">
      <c r="E196">
        <v>0.19</v>
      </c>
      <c r="F196" s="2">
        <f t="shared" si="13"/>
        <v>9533.3549518282562</v>
      </c>
      <c r="G196" s="2">
        <f t="shared" si="14"/>
        <v>3432007.7826581723</v>
      </c>
      <c r="H196" s="26">
        <f t="shared" si="15"/>
        <v>2832007.7826581723</v>
      </c>
      <c r="I196" s="26">
        <f t="shared" si="17"/>
        <v>17703.876347321086</v>
      </c>
      <c r="J196" s="26">
        <f t="shared" si="16"/>
        <v>1714750</v>
      </c>
      <c r="K196" s="2">
        <f t="shared" si="12"/>
        <v>1117257.7826581723</v>
      </c>
    </row>
    <row r="197" spans="5:11" x14ac:dyDescent="0.25">
      <c r="E197">
        <v>0.191</v>
      </c>
      <c r="F197" s="2">
        <f t="shared" si="13"/>
        <v>9582.5514606376946</v>
      </c>
      <c r="G197" s="2">
        <f t="shared" si="14"/>
        <v>3449718.5258295699</v>
      </c>
      <c r="H197" s="26">
        <f t="shared" si="15"/>
        <v>2849718.5258295699</v>
      </c>
      <c r="I197" s="26">
        <f t="shared" si="17"/>
        <v>17710.743171397597</v>
      </c>
      <c r="J197" s="26">
        <f t="shared" si="16"/>
        <v>1723775</v>
      </c>
      <c r="K197" s="2">
        <f t="shared" si="12"/>
        <v>1125943.5258295699</v>
      </c>
    </row>
    <row r="198" spans="5:11" x14ac:dyDescent="0.25">
      <c r="E198">
        <v>0.192</v>
      </c>
      <c r="F198" s="2">
        <f t="shared" si="13"/>
        <v>9631.7666260044316</v>
      </c>
      <c r="G198" s="2">
        <f t="shared" si="14"/>
        <v>3467435.9853615952</v>
      </c>
      <c r="H198" s="26">
        <f t="shared" si="15"/>
        <v>2867435.9853615952</v>
      </c>
      <c r="I198" s="26">
        <f t="shared" si="17"/>
        <v>17717.45953202527</v>
      </c>
      <c r="J198" s="26">
        <f t="shared" si="16"/>
        <v>1732800</v>
      </c>
      <c r="K198" s="2">
        <f t="shared" ref="K198:K261" si="18">H198-J198</f>
        <v>1134635.9853615952</v>
      </c>
    </row>
    <row r="199" spans="5:11" x14ac:dyDescent="0.25">
      <c r="E199">
        <v>0.193</v>
      </c>
      <c r="F199" s="2">
        <f t="shared" ref="F199:F262" si="19">PMT(E199/12,$C$7,-$C$6,0,0)</f>
        <v>9681.0000383081533</v>
      </c>
      <c r="G199" s="2">
        <f t="shared" ref="G199:G262" si="20">360*F199</f>
        <v>3485160.0137909353</v>
      </c>
      <c r="H199" s="26">
        <f t="shared" ref="H199:H262" si="21">360*F199-$C$6</f>
        <v>2885160.0137909353</v>
      </c>
      <c r="I199" s="26">
        <f t="shared" si="17"/>
        <v>17724.028429340106</v>
      </c>
      <c r="J199" s="26">
        <f t="shared" ref="J199:J262" si="22">$C$6*E199/12*($C$7+1)/2</f>
        <v>1741825</v>
      </c>
      <c r="K199" s="2">
        <f t="shared" si="18"/>
        <v>1143335.0137909353</v>
      </c>
    </row>
    <row r="200" spans="5:11" x14ac:dyDescent="0.25">
      <c r="E200">
        <v>0.19400000000000001</v>
      </c>
      <c r="F200" s="2">
        <f t="shared" si="19"/>
        <v>9730.2512961242519</v>
      </c>
      <c r="G200" s="2">
        <f t="shared" si="20"/>
        <v>3502890.4666047306</v>
      </c>
      <c r="H200" s="26">
        <f t="shared" si="21"/>
        <v>2902890.4666047306</v>
      </c>
      <c r="I200" s="26">
        <f t="shared" si="17"/>
        <v>17730.452813795302</v>
      </c>
      <c r="J200" s="26">
        <f t="shared" si="22"/>
        <v>1750850</v>
      </c>
      <c r="K200" s="2">
        <f t="shared" si="18"/>
        <v>1152040.4666047306</v>
      </c>
    </row>
    <row r="201" spans="5:11" x14ac:dyDescent="0.25">
      <c r="E201">
        <v>0.19500000000000001</v>
      </c>
      <c r="F201" s="2">
        <f t="shared" si="19"/>
        <v>9779.5200060870848</v>
      </c>
      <c r="G201" s="2">
        <f t="shared" si="20"/>
        <v>3520627.2021913505</v>
      </c>
      <c r="H201" s="26">
        <f t="shared" si="21"/>
        <v>2920627.2021913505</v>
      </c>
      <c r="I201" s="26">
        <f t="shared" ref="I201:I264" si="23">H201-H200</f>
        <v>17736.735586619936</v>
      </c>
      <c r="J201" s="26">
        <f t="shared" si="22"/>
        <v>1759875</v>
      </c>
      <c r="K201" s="2">
        <f t="shared" si="18"/>
        <v>1160752.2021913505</v>
      </c>
    </row>
    <row r="202" spans="5:11" x14ac:dyDescent="0.25">
      <c r="E202">
        <v>0.19600000000000001</v>
      </c>
      <c r="F202" s="2">
        <f t="shared" si="19"/>
        <v>9828.8057827545435</v>
      </c>
      <c r="G202" s="2">
        <f t="shared" si="20"/>
        <v>3538370.0817916356</v>
      </c>
      <c r="H202" s="26">
        <f t="shared" si="21"/>
        <v>2938370.0817916356</v>
      </c>
      <c r="I202" s="26">
        <f t="shared" si="23"/>
        <v>17742.879600285087</v>
      </c>
      <c r="J202" s="26">
        <f t="shared" si="22"/>
        <v>1768900</v>
      </c>
      <c r="K202" s="2">
        <f t="shared" si="18"/>
        <v>1169470.0817916356</v>
      </c>
    </row>
    <row r="203" spans="5:11" x14ac:dyDescent="0.25">
      <c r="E203">
        <v>0.19700000000000001</v>
      </c>
      <c r="F203" s="2">
        <f t="shared" si="19"/>
        <v>9878.1082484740145</v>
      </c>
      <c r="G203" s="2">
        <f t="shared" si="20"/>
        <v>3556118.9694506451</v>
      </c>
      <c r="H203" s="26">
        <f t="shared" si="21"/>
        <v>2956118.9694506451</v>
      </c>
      <c r="I203" s="26">
        <f t="shared" si="23"/>
        <v>17748.887659009546</v>
      </c>
      <c r="J203" s="26">
        <f t="shared" si="22"/>
        <v>1777925</v>
      </c>
      <c r="K203" s="2">
        <f t="shared" si="18"/>
        <v>1178193.9694506451</v>
      </c>
    </row>
    <row r="204" spans="5:11" x14ac:dyDescent="0.25">
      <c r="E204">
        <v>0.19800000000000001</v>
      </c>
      <c r="F204" s="2">
        <f t="shared" si="19"/>
        <v>9927.4270332496744</v>
      </c>
      <c r="G204" s="2">
        <f t="shared" si="20"/>
        <v>3573873.7319698827</v>
      </c>
      <c r="H204" s="26">
        <f t="shared" si="21"/>
        <v>2973873.7319698827</v>
      </c>
      <c r="I204" s="26">
        <f t="shared" si="23"/>
        <v>17754.762519237585</v>
      </c>
      <c r="J204" s="26">
        <f t="shared" si="22"/>
        <v>1786950</v>
      </c>
      <c r="K204" s="2">
        <f t="shared" si="18"/>
        <v>1186923.7319698827</v>
      </c>
    </row>
    <row r="205" spans="5:11" x14ac:dyDescent="0.25">
      <c r="E205">
        <v>0.19900000000000001</v>
      </c>
      <c r="F205" s="2">
        <f t="shared" si="19"/>
        <v>9976.7617746111864</v>
      </c>
      <c r="G205" s="2">
        <f t="shared" si="20"/>
        <v>3591634.2388600269</v>
      </c>
      <c r="H205" s="26">
        <f t="shared" si="21"/>
        <v>2991634.2388600269</v>
      </c>
      <c r="I205" s="26">
        <f t="shared" si="23"/>
        <v>17760.506890144199</v>
      </c>
      <c r="J205" s="26">
        <f t="shared" si="22"/>
        <v>1795975</v>
      </c>
      <c r="K205" s="2">
        <f t="shared" si="18"/>
        <v>1195659.2388600269</v>
      </c>
    </row>
    <row r="206" spans="5:11" x14ac:dyDescent="0.25">
      <c r="E206">
        <v>0.2</v>
      </c>
      <c r="F206" s="2">
        <f t="shared" si="19"/>
        <v>10026.112117483814</v>
      </c>
      <c r="G206" s="2">
        <f t="shared" si="20"/>
        <v>3609400.3622941729</v>
      </c>
      <c r="H206" s="26">
        <f t="shared" si="21"/>
        <v>3009400.3622941729</v>
      </c>
      <c r="I206" s="26">
        <f t="shared" si="23"/>
        <v>17766.123434145935</v>
      </c>
      <c r="J206" s="26">
        <f t="shared" si="22"/>
        <v>1805000</v>
      </c>
      <c r="K206" s="2">
        <f t="shared" si="18"/>
        <v>1204400.3622941729</v>
      </c>
    </row>
    <row r="207" spans="5:11" x14ac:dyDescent="0.25">
      <c r="E207">
        <v>0.20100000000000001</v>
      </c>
      <c r="F207" s="2">
        <f t="shared" si="19"/>
        <v>10075.477714059971</v>
      </c>
      <c r="G207" s="2">
        <f t="shared" si="20"/>
        <v>3627171.9770615897</v>
      </c>
      <c r="H207" s="26">
        <f t="shared" si="21"/>
        <v>3027171.9770615897</v>
      </c>
      <c r="I207" s="26">
        <f t="shared" si="23"/>
        <v>17771.614767416846</v>
      </c>
      <c r="J207" s="26">
        <f t="shared" si="22"/>
        <v>1814025</v>
      </c>
      <c r="K207" s="2">
        <f t="shared" si="18"/>
        <v>1213146.9770615897</v>
      </c>
    </row>
    <row r="208" spans="5:11" x14ac:dyDescent="0.25">
      <c r="E208">
        <v>0.20200000000000001</v>
      </c>
      <c r="F208" s="2">
        <f t="shared" si="19"/>
        <v>10124.858223672181</v>
      </c>
      <c r="G208" s="2">
        <f t="shared" si="20"/>
        <v>3644948.9605219853</v>
      </c>
      <c r="H208" s="26">
        <f t="shared" si="21"/>
        <v>3044948.9605219853</v>
      </c>
      <c r="I208" s="26">
        <f t="shared" si="23"/>
        <v>17776.983460395597</v>
      </c>
      <c r="J208" s="26">
        <f t="shared" si="22"/>
        <v>1823050.0000000002</v>
      </c>
      <c r="K208" s="2">
        <f t="shared" si="18"/>
        <v>1221898.9605219851</v>
      </c>
    </row>
    <row r="209" spans="5:11" x14ac:dyDescent="0.25">
      <c r="E209">
        <v>0.20300000000000001</v>
      </c>
      <c r="F209" s="2">
        <f t="shared" si="19"/>
        <v>10174.253312667539</v>
      </c>
      <c r="G209" s="2">
        <f t="shared" si="20"/>
        <v>3662731.1925603142</v>
      </c>
      <c r="H209" s="26">
        <f t="shared" si="21"/>
        <v>3062731.1925603142</v>
      </c>
      <c r="I209" s="26">
        <f t="shared" si="23"/>
        <v>17782.23203832889</v>
      </c>
      <c r="J209" s="26">
        <f t="shared" si="22"/>
        <v>1832075.0000000002</v>
      </c>
      <c r="K209" s="2">
        <f t="shared" si="18"/>
        <v>1230656.192560314</v>
      </c>
    </row>
    <row r="210" spans="5:11" x14ac:dyDescent="0.25">
      <c r="E210">
        <v>0.20399999999999999</v>
      </c>
      <c r="F210" s="2">
        <f t="shared" si="19"/>
        <v>10223.662654283604</v>
      </c>
      <c r="G210" s="2">
        <f t="shared" si="20"/>
        <v>3680518.5555420974</v>
      </c>
      <c r="H210" s="26">
        <f t="shared" si="21"/>
        <v>3080518.5555420974</v>
      </c>
      <c r="I210" s="26">
        <f t="shared" si="23"/>
        <v>17787.362981783226</v>
      </c>
      <c r="J210" s="26">
        <f t="shared" si="22"/>
        <v>1841099.9999999998</v>
      </c>
      <c r="K210" s="2">
        <f t="shared" si="18"/>
        <v>1239418.5555420977</v>
      </c>
    </row>
    <row r="211" spans="5:11" x14ac:dyDescent="0.25">
      <c r="E211">
        <v>0.20499999999999999</v>
      </c>
      <c r="F211" s="2">
        <f t="shared" si="19"/>
        <v>10273.085928525807</v>
      </c>
      <c r="G211" s="2">
        <f t="shared" si="20"/>
        <v>3698310.9342692904</v>
      </c>
      <c r="H211" s="26">
        <f t="shared" si="21"/>
        <v>3098310.9342692904</v>
      </c>
      <c r="I211" s="26">
        <f t="shared" si="23"/>
        <v>17792.37872719299</v>
      </c>
      <c r="J211" s="26">
        <f t="shared" si="22"/>
        <v>1850124.9999999998</v>
      </c>
      <c r="K211" s="2">
        <f t="shared" si="18"/>
        <v>1248185.9342692907</v>
      </c>
    </row>
    <row r="212" spans="5:11" x14ac:dyDescent="0.25">
      <c r="E212">
        <v>0.20599999999999999</v>
      </c>
      <c r="F212" s="2">
        <f t="shared" si="19"/>
        <v>10322.522822046312</v>
      </c>
      <c r="G212" s="2">
        <f t="shared" si="20"/>
        <v>3716108.2159366724</v>
      </c>
      <c r="H212" s="26">
        <f t="shared" si="21"/>
        <v>3116108.2159366724</v>
      </c>
      <c r="I212" s="26">
        <f t="shared" si="23"/>
        <v>17797.281667381991</v>
      </c>
      <c r="J212" s="26">
        <f t="shared" si="22"/>
        <v>1859150</v>
      </c>
      <c r="K212" s="2">
        <f t="shared" si="18"/>
        <v>1256958.2159366724</v>
      </c>
    </row>
    <row r="213" spans="5:11" x14ac:dyDescent="0.25">
      <c r="E213">
        <v>0.20699999999999999</v>
      </c>
      <c r="F213" s="2">
        <f t="shared" si="19"/>
        <v>10371.973028024406</v>
      </c>
      <c r="G213" s="2">
        <f t="shared" si="20"/>
        <v>3733910.2900887863</v>
      </c>
      <c r="H213" s="26">
        <f t="shared" si="21"/>
        <v>3133910.2900887863</v>
      </c>
      <c r="I213" s="26">
        <f t="shared" si="23"/>
        <v>17802.07415211387</v>
      </c>
      <c r="J213" s="26">
        <f t="shared" si="22"/>
        <v>1868175</v>
      </c>
      <c r="K213" s="2">
        <f t="shared" si="18"/>
        <v>1265735.2900887863</v>
      </c>
    </row>
    <row r="214" spans="5:11" x14ac:dyDescent="0.25">
      <c r="E214">
        <v>0.20799999999999999</v>
      </c>
      <c r="F214" s="2">
        <f t="shared" si="19"/>
        <v>10421.436246048392</v>
      </c>
      <c r="G214" s="2">
        <f t="shared" si="20"/>
        <v>3751717.0485774209</v>
      </c>
      <c r="H214" s="26">
        <f t="shared" si="21"/>
        <v>3151717.0485774209</v>
      </c>
      <c r="I214" s="26">
        <f t="shared" si="23"/>
        <v>17806.758488634601</v>
      </c>
      <c r="J214" s="26">
        <f t="shared" si="22"/>
        <v>1877200</v>
      </c>
      <c r="K214" s="2">
        <f t="shared" si="18"/>
        <v>1274517.0485774209</v>
      </c>
    </row>
    <row r="215" spans="5:11" x14ac:dyDescent="0.25">
      <c r="E215">
        <v>0.20899999999999999</v>
      </c>
      <c r="F215" s="2">
        <f t="shared" si="19"/>
        <v>10470.912181998958</v>
      </c>
      <c r="G215" s="2">
        <f t="shared" si="20"/>
        <v>3769528.3855196247</v>
      </c>
      <c r="H215" s="26">
        <f t="shared" si="21"/>
        <v>3169528.3855196247</v>
      </c>
      <c r="I215" s="26">
        <f t="shared" si="23"/>
        <v>17811.336942203809</v>
      </c>
      <c r="J215" s="26">
        <f t="shared" si="22"/>
        <v>1886225</v>
      </c>
      <c r="K215" s="2">
        <f t="shared" si="18"/>
        <v>1283303.3855196247</v>
      </c>
    </row>
    <row r="216" spans="5:11" x14ac:dyDescent="0.25">
      <c r="E216">
        <v>0.21</v>
      </c>
      <c r="F216" s="2">
        <f t="shared" si="19"/>
        <v>10520.400547934114</v>
      </c>
      <c r="G216" s="2">
        <f t="shared" si="20"/>
        <v>3787344.197256281</v>
      </c>
      <c r="H216" s="26">
        <f t="shared" si="21"/>
        <v>3187344.197256281</v>
      </c>
      <c r="I216" s="26">
        <f t="shared" si="23"/>
        <v>17815.811736656353</v>
      </c>
      <c r="J216" s="26">
        <f t="shared" si="22"/>
        <v>1895250</v>
      </c>
      <c r="K216" s="2">
        <f t="shared" si="18"/>
        <v>1292094.197256281</v>
      </c>
    </row>
    <row r="217" spans="5:11" x14ac:dyDescent="0.25">
      <c r="E217">
        <v>0.21099999999999999</v>
      </c>
      <c r="F217" s="2">
        <f t="shared" si="19"/>
        <v>10569.901061975605</v>
      </c>
      <c r="G217" s="2">
        <f t="shared" si="20"/>
        <v>3805164.3823112175</v>
      </c>
      <c r="H217" s="26">
        <f t="shared" si="21"/>
        <v>3205164.3823112175</v>
      </c>
      <c r="I217" s="26">
        <f t="shared" si="23"/>
        <v>17820.185054936446</v>
      </c>
      <c r="J217" s="26">
        <f t="shared" si="22"/>
        <v>1904275</v>
      </c>
      <c r="K217" s="2">
        <f t="shared" si="18"/>
        <v>1300889.3823112175</v>
      </c>
    </row>
    <row r="218" spans="5:11" x14ac:dyDescent="0.25">
      <c r="E218">
        <v>0.21199999999999999</v>
      </c>
      <c r="F218" s="2">
        <f t="shared" si="19"/>
        <v>10619.413448196863</v>
      </c>
      <c r="G218" s="2">
        <f t="shared" si="20"/>
        <v>3822988.8413508707</v>
      </c>
      <c r="H218" s="26">
        <f t="shared" si="21"/>
        <v>3222988.8413508707</v>
      </c>
      <c r="I218" s="26">
        <f t="shared" si="23"/>
        <v>17824.459039653186</v>
      </c>
      <c r="J218" s="26">
        <f t="shared" si="22"/>
        <v>1913300</v>
      </c>
      <c r="K218" s="2">
        <f t="shared" si="18"/>
        <v>1309688.8413508707</v>
      </c>
    </row>
    <row r="219" spans="5:11" x14ac:dyDescent="0.25">
      <c r="E219">
        <v>0.21299999999999999</v>
      </c>
      <c r="F219" s="2">
        <f t="shared" si="19"/>
        <v>10668.937436512479</v>
      </c>
      <c r="G219" s="2">
        <f t="shared" si="20"/>
        <v>3840817.4771444923</v>
      </c>
      <c r="H219" s="26">
        <f t="shared" si="21"/>
        <v>3240817.4771444923</v>
      </c>
      <c r="I219" s="26">
        <f t="shared" si="23"/>
        <v>17828.635793621652</v>
      </c>
      <c r="J219" s="26">
        <f t="shared" si="22"/>
        <v>1922325</v>
      </c>
      <c r="K219" s="2">
        <f t="shared" si="18"/>
        <v>1318492.4771444923</v>
      </c>
    </row>
    <row r="220" spans="5:11" x14ac:dyDescent="0.25">
      <c r="E220">
        <v>0.214</v>
      </c>
      <c r="F220" s="2">
        <f t="shared" si="19"/>
        <v>10718.472762569192</v>
      </c>
      <c r="G220" s="2">
        <f t="shared" si="20"/>
        <v>3858650.1945249094</v>
      </c>
      <c r="H220" s="26">
        <f t="shared" si="21"/>
        <v>3258650.1945249094</v>
      </c>
      <c r="I220" s="26">
        <f t="shared" si="23"/>
        <v>17832.717380417045</v>
      </c>
      <c r="J220" s="26">
        <f t="shared" si="22"/>
        <v>1931350</v>
      </c>
      <c r="K220" s="2">
        <f t="shared" si="18"/>
        <v>1327300.1945249094</v>
      </c>
    </row>
    <row r="221" spans="5:11" x14ac:dyDescent="0.25">
      <c r="E221">
        <v>0.215</v>
      </c>
      <c r="F221" s="2">
        <f t="shared" si="19"/>
        <v>10768.019167638397</v>
      </c>
      <c r="G221" s="2">
        <f t="shared" si="20"/>
        <v>3876486.9003498228</v>
      </c>
      <c r="H221" s="26">
        <f t="shared" si="21"/>
        <v>3276486.9003498228</v>
      </c>
      <c r="I221" s="26">
        <f t="shared" si="23"/>
        <v>17836.705824913457</v>
      </c>
      <c r="J221" s="26">
        <f t="shared" si="22"/>
        <v>1940375</v>
      </c>
      <c r="K221" s="2">
        <f t="shared" si="18"/>
        <v>1336111.9003498228</v>
      </c>
    </row>
    <row r="222" spans="5:11" x14ac:dyDescent="0.25">
      <c r="E222">
        <v>0.216</v>
      </c>
      <c r="F222" s="2">
        <f t="shared" si="19"/>
        <v>10817.576398510173</v>
      </c>
      <c r="G222" s="2">
        <f t="shared" si="20"/>
        <v>3894327.5034636622</v>
      </c>
      <c r="H222" s="26">
        <f t="shared" si="21"/>
        <v>3294327.5034636622</v>
      </c>
      <c r="I222" s="26">
        <f t="shared" si="23"/>
        <v>17840.603113839403</v>
      </c>
      <c r="J222" s="26">
        <f t="shared" si="22"/>
        <v>1949400</v>
      </c>
      <c r="K222" s="2">
        <f t="shared" si="18"/>
        <v>1344927.5034636622</v>
      </c>
    </row>
    <row r="223" spans="5:11" x14ac:dyDescent="0.25">
      <c r="E223">
        <v>0.217</v>
      </c>
      <c r="F223" s="2">
        <f t="shared" si="19"/>
        <v>10867.144207388845</v>
      </c>
      <c r="G223" s="2">
        <f t="shared" si="20"/>
        <v>3912171.9146599839</v>
      </c>
      <c r="H223" s="26">
        <f t="shared" si="21"/>
        <v>3312171.9146599839</v>
      </c>
      <c r="I223" s="26">
        <f t="shared" si="23"/>
        <v>17844.411196321715</v>
      </c>
      <c r="J223" s="26">
        <f t="shared" si="22"/>
        <v>1958425</v>
      </c>
      <c r="K223" s="2">
        <f t="shared" si="18"/>
        <v>1353746.9146599839</v>
      </c>
    </row>
    <row r="224" spans="5:11" x14ac:dyDescent="0.25">
      <c r="E224">
        <v>0.218</v>
      </c>
      <c r="F224" s="2">
        <f t="shared" si="19"/>
        <v>10916.722351790013</v>
      </c>
      <c r="G224" s="2">
        <f t="shared" si="20"/>
        <v>3930020.0466444045</v>
      </c>
      <c r="H224" s="26">
        <f t="shared" si="21"/>
        <v>3330020.0466444045</v>
      </c>
      <c r="I224" s="26">
        <f t="shared" si="23"/>
        <v>17848.131984420586</v>
      </c>
      <c r="J224" s="26">
        <f t="shared" si="22"/>
        <v>1967450</v>
      </c>
      <c r="K224" s="2">
        <f t="shared" si="18"/>
        <v>1362570.0466444045</v>
      </c>
    </row>
    <row r="225" spans="5:11" x14ac:dyDescent="0.25">
      <c r="E225">
        <v>0.219</v>
      </c>
      <c r="F225" s="2">
        <f t="shared" si="19"/>
        <v>10966.310594439132</v>
      </c>
      <c r="G225" s="2">
        <f t="shared" si="20"/>
        <v>3947871.8139980873</v>
      </c>
      <c r="H225" s="26">
        <f t="shared" si="21"/>
        <v>3347871.8139980873</v>
      </c>
      <c r="I225" s="26">
        <f t="shared" si="23"/>
        <v>17851.767353682779</v>
      </c>
      <c r="J225" s="26">
        <f t="shared" si="22"/>
        <v>1976475</v>
      </c>
      <c r="K225" s="2">
        <f t="shared" si="18"/>
        <v>1371396.8139980873</v>
      </c>
    </row>
    <row r="226" spans="5:11" x14ac:dyDescent="0.25">
      <c r="E226">
        <v>0.22</v>
      </c>
      <c r="F226" s="2">
        <f t="shared" si="19"/>
        <v>11015.908703171574</v>
      </c>
      <c r="G226" s="2">
        <f t="shared" si="20"/>
        <v>3965727.1331417663</v>
      </c>
      <c r="H226" s="26">
        <f t="shared" si="21"/>
        <v>3365727.1331417663</v>
      </c>
      <c r="I226" s="26">
        <f t="shared" si="23"/>
        <v>17855.319143678993</v>
      </c>
      <c r="J226" s="26">
        <f t="shared" si="22"/>
        <v>1985500</v>
      </c>
      <c r="K226" s="2">
        <f t="shared" si="18"/>
        <v>1380227.1331417663</v>
      </c>
    </row>
    <row r="227" spans="5:11" x14ac:dyDescent="0.25">
      <c r="E227">
        <v>0.221</v>
      </c>
      <c r="F227" s="2">
        <f t="shared" si="19"/>
        <v>11065.516450834182</v>
      </c>
      <c r="G227" s="2">
        <f t="shared" si="20"/>
        <v>3983585.9223003057</v>
      </c>
      <c r="H227" s="26">
        <f t="shared" si="21"/>
        <v>3383585.9223003057</v>
      </c>
      <c r="I227" s="26">
        <f t="shared" si="23"/>
        <v>17858.789158539381</v>
      </c>
      <c r="J227" s="26">
        <f t="shared" si="22"/>
        <v>1994525</v>
      </c>
      <c r="K227" s="2">
        <f t="shared" si="18"/>
        <v>1389060.9223003057</v>
      </c>
    </row>
    <row r="228" spans="5:11" x14ac:dyDescent="0.25">
      <c r="E228">
        <v>0.222</v>
      </c>
      <c r="F228" s="2">
        <f t="shared" si="19"/>
        <v>11115.133615188328</v>
      </c>
      <c r="G228" s="2">
        <f t="shared" si="20"/>
        <v>4001448.101467798</v>
      </c>
      <c r="H228" s="26">
        <f t="shared" si="21"/>
        <v>3401448.101467798</v>
      </c>
      <c r="I228" s="26">
        <f t="shared" si="23"/>
        <v>17862.179167492315</v>
      </c>
      <c r="J228" s="26">
        <f t="shared" si="22"/>
        <v>2003550</v>
      </c>
      <c r="K228" s="2">
        <f t="shared" si="18"/>
        <v>1397898.101467798</v>
      </c>
    </row>
    <row r="229" spans="5:11" x14ac:dyDescent="0.25">
      <c r="E229">
        <v>0.223</v>
      </c>
      <c r="F229" s="2">
        <f t="shared" si="19"/>
        <v>11164.759978814434</v>
      </c>
      <c r="G229" s="2">
        <f t="shared" si="20"/>
        <v>4019313.5923731965</v>
      </c>
      <c r="H229" s="26">
        <f t="shared" si="21"/>
        <v>3419313.5923731965</v>
      </c>
      <c r="I229" s="26">
        <f t="shared" si="23"/>
        <v>17865.490905398503</v>
      </c>
      <c r="J229" s="26">
        <f t="shared" si="22"/>
        <v>2012575</v>
      </c>
      <c r="K229" s="2">
        <f t="shared" si="18"/>
        <v>1406738.5923731965</v>
      </c>
    </row>
    <row r="230" spans="5:11" x14ac:dyDescent="0.25">
      <c r="E230">
        <v>0.224</v>
      </c>
      <c r="F230" s="2">
        <f t="shared" si="19"/>
        <v>11214.395329017985</v>
      </c>
      <c r="G230" s="2">
        <f t="shared" si="20"/>
        <v>4037182.3184464746</v>
      </c>
      <c r="H230" s="26">
        <f t="shared" si="21"/>
        <v>3437182.3184464746</v>
      </c>
      <c r="I230" s="26">
        <f t="shared" si="23"/>
        <v>17868.726073278114</v>
      </c>
      <c r="J230" s="26">
        <f t="shared" si="22"/>
        <v>2021600</v>
      </c>
      <c r="K230" s="2">
        <f t="shared" si="18"/>
        <v>1415582.3184464746</v>
      </c>
    </row>
    <row r="231" spans="5:11" x14ac:dyDescent="0.25">
      <c r="E231">
        <v>0.22500000000000001</v>
      </c>
      <c r="F231" s="2">
        <f t="shared" si="19"/>
        <v>11264.039457736988</v>
      </c>
      <c r="G231" s="2">
        <f t="shared" si="20"/>
        <v>4055054.2047853158</v>
      </c>
      <c r="H231" s="26">
        <f t="shared" si="21"/>
        <v>3455054.2047853158</v>
      </c>
      <c r="I231" s="26">
        <f t="shared" si="23"/>
        <v>17871.88633884117</v>
      </c>
      <c r="J231" s="26">
        <f t="shared" si="22"/>
        <v>2030625</v>
      </c>
      <c r="K231" s="2">
        <f t="shared" si="18"/>
        <v>1424429.2047853158</v>
      </c>
    </row>
    <row r="232" spans="5:11" x14ac:dyDescent="0.25">
      <c r="E232">
        <v>0.22600000000000001</v>
      </c>
      <c r="F232" s="2">
        <f t="shared" si="19"/>
        <v>11313.692161450903</v>
      </c>
      <c r="G232" s="2">
        <f t="shared" si="20"/>
        <v>4072929.1781223249</v>
      </c>
      <c r="H232" s="26">
        <f t="shared" si="21"/>
        <v>3472929.1781223249</v>
      </c>
      <c r="I232" s="26">
        <f t="shared" si="23"/>
        <v>17874.973337009083</v>
      </c>
      <c r="J232" s="26">
        <f t="shared" si="22"/>
        <v>2039650</v>
      </c>
      <c r="K232" s="2">
        <f t="shared" si="18"/>
        <v>1433279.1781223249</v>
      </c>
    </row>
    <row r="233" spans="5:11" x14ac:dyDescent="0.25">
      <c r="E233">
        <v>0.22700000000000001</v>
      </c>
      <c r="F233" s="2">
        <f t="shared" si="19"/>
        <v>11363.353241091005</v>
      </c>
      <c r="G233" s="2">
        <f t="shared" si="20"/>
        <v>4090807.1667927615</v>
      </c>
      <c r="H233" s="26">
        <f t="shared" si="21"/>
        <v>3490807.1667927615</v>
      </c>
      <c r="I233" s="26">
        <f t="shared" si="23"/>
        <v>17877.988670436665</v>
      </c>
      <c r="J233" s="26">
        <f t="shared" si="22"/>
        <v>2048675</v>
      </c>
      <c r="K233" s="2">
        <f t="shared" si="18"/>
        <v>1442132.1667927615</v>
      </c>
    </row>
    <row r="234" spans="5:11" x14ac:dyDescent="0.25">
      <c r="E234">
        <v>0.22800000000000001</v>
      </c>
      <c r="F234" s="2">
        <f t="shared" si="19"/>
        <v>11413.022501952202</v>
      </c>
      <c r="G234" s="2">
        <f t="shared" si="20"/>
        <v>4108688.1007027929</v>
      </c>
      <c r="H234" s="26">
        <f t="shared" si="21"/>
        <v>3508688.1007027929</v>
      </c>
      <c r="I234" s="26">
        <f t="shared" si="23"/>
        <v>17880.933910031337</v>
      </c>
      <c r="J234" s="26">
        <f t="shared" si="22"/>
        <v>2057700</v>
      </c>
      <c r="K234" s="2">
        <f t="shared" si="18"/>
        <v>1450988.1007027929</v>
      </c>
    </row>
    <row r="235" spans="5:11" x14ac:dyDescent="0.25">
      <c r="E235">
        <v>0.22900000000000001</v>
      </c>
      <c r="F235" s="2">
        <f t="shared" si="19"/>
        <v>11462.699753606257</v>
      </c>
      <c r="G235" s="2">
        <f t="shared" si="20"/>
        <v>4126571.9112982526</v>
      </c>
      <c r="H235" s="26">
        <f t="shared" si="21"/>
        <v>3526571.9112982526</v>
      </c>
      <c r="I235" s="26">
        <f t="shared" si="23"/>
        <v>17883.81059545977</v>
      </c>
      <c r="J235" s="26">
        <f t="shared" si="22"/>
        <v>2066725</v>
      </c>
      <c r="K235" s="2">
        <f t="shared" si="18"/>
        <v>1459846.9112982526</v>
      </c>
    </row>
    <row r="236" spans="5:11" x14ac:dyDescent="0.25">
      <c r="E236">
        <v>0.23</v>
      </c>
      <c r="F236" s="2">
        <f t="shared" si="19"/>
        <v>11512.384809816424</v>
      </c>
      <c r="G236" s="2">
        <f t="shared" si="20"/>
        <v>4144458.5315339123</v>
      </c>
      <c r="H236" s="26">
        <f t="shared" si="21"/>
        <v>3544458.5315339123</v>
      </c>
      <c r="I236" s="26">
        <f t="shared" si="23"/>
        <v>17886.620235659648</v>
      </c>
      <c r="J236" s="26">
        <f t="shared" si="22"/>
        <v>2075750</v>
      </c>
      <c r="K236" s="2">
        <f t="shared" si="18"/>
        <v>1468708.5315339123</v>
      </c>
    </row>
    <row r="237" spans="5:11" x14ac:dyDescent="0.25">
      <c r="E237">
        <v>0.23100000000000001</v>
      </c>
      <c r="F237" s="2">
        <f t="shared" si="19"/>
        <v>11562.077488453506</v>
      </c>
      <c r="G237" s="2">
        <f t="shared" si="20"/>
        <v>4162347.8958432619</v>
      </c>
      <c r="H237" s="26">
        <f t="shared" si="21"/>
        <v>3562347.8958432619</v>
      </c>
      <c r="I237" s="26">
        <f t="shared" si="23"/>
        <v>17889.364309349563</v>
      </c>
      <c r="J237" s="26">
        <f t="shared" si="22"/>
        <v>2084775</v>
      </c>
      <c r="K237" s="2">
        <f t="shared" si="18"/>
        <v>1477572.8958432619</v>
      </c>
    </row>
    <row r="238" spans="5:11" x14ac:dyDescent="0.25">
      <c r="E238">
        <v>0.23200000000000001</v>
      </c>
      <c r="F238" s="2">
        <f t="shared" si="19"/>
        <v>11611.77761141329</v>
      </c>
      <c r="G238" s="2">
        <f t="shared" si="20"/>
        <v>4180239.9401087845</v>
      </c>
      <c r="H238" s="26">
        <f t="shared" si="21"/>
        <v>3580239.9401087845</v>
      </c>
      <c r="I238" s="26">
        <f t="shared" si="23"/>
        <v>17892.044265522622</v>
      </c>
      <c r="J238" s="26">
        <f t="shared" si="22"/>
        <v>2093800</v>
      </c>
      <c r="K238" s="2">
        <f t="shared" si="18"/>
        <v>1486439.9401087845</v>
      </c>
    </row>
    <row r="239" spans="5:11" x14ac:dyDescent="0.25">
      <c r="E239">
        <v>0.23300000000000001</v>
      </c>
      <c r="F239" s="2">
        <f t="shared" si="19"/>
        <v>11661.485004535349</v>
      </c>
      <c r="G239" s="2">
        <f t="shared" si="20"/>
        <v>4198134.6016327254</v>
      </c>
      <c r="H239" s="26">
        <f t="shared" si="21"/>
        <v>3598134.6016327254</v>
      </c>
      <c r="I239" s="26">
        <f t="shared" si="23"/>
        <v>17894.661523940973</v>
      </c>
      <c r="J239" s="26">
        <f t="shared" si="22"/>
        <v>2102825</v>
      </c>
      <c r="K239" s="2">
        <f t="shared" si="18"/>
        <v>1495309.6016327254</v>
      </c>
    </row>
    <row r="240" spans="5:11" x14ac:dyDescent="0.25">
      <c r="E240">
        <v>0.23400000000000001</v>
      </c>
      <c r="F240" s="2">
        <f t="shared" si="19"/>
        <v>11711.19949752323</v>
      </c>
      <c r="G240" s="2">
        <f t="shared" si="20"/>
        <v>4216031.8191083632</v>
      </c>
      <c r="H240" s="26">
        <f t="shared" si="21"/>
        <v>3616031.8191083632</v>
      </c>
      <c r="I240" s="26">
        <f t="shared" si="23"/>
        <v>17897.217475637794</v>
      </c>
      <c r="J240" s="26">
        <f t="shared" si="22"/>
        <v>2111850</v>
      </c>
      <c r="K240" s="2">
        <f t="shared" si="18"/>
        <v>1504181.8191083632</v>
      </c>
    </row>
    <row r="241" spans="5:11" x14ac:dyDescent="0.25">
      <c r="E241">
        <v>0.23499999999999999</v>
      </c>
      <c r="F241" s="2">
        <f t="shared" si="19"/>
        <v>11760.920923865988</v>
      </c>
      <c r="G241" s="2">
        <f t="shared" si="20"/>
        <v>4233931.5325917555</v>
      </c>
      <c r="H241" s="26">
        <f t="shared" si="21"/>
        <v>3633931.5325917555</v>
      </c>
      <c r="I241" s="26">
        <f t="shared" si="23"/>
        <v>17899.713483392261</v>
      </c>
      <c r="J241" s="26">
        <f t="shared" si="22"/>
        <v>2120875</v>
      </c>
      <c r="K241" s="2">
        <f t="shared" si="18"/>
        <v>1513056.5325917555</v>
      </c>
    </row>
    <row r="242" spans="5:11" x14ac:dyDescent="0.25">
      <c r="E242">
        <v>0.23599999999999999</v>
      </c>
      <c r="F242" s="2">
        <f t="shared" si="19"/>
        <v>11810.649120761047</v>
      </c>
      <c r="G242" s="2">
        <f t="shared" si="20"/>
        <v>4251833.6834739773</v>
      </c>
      <c r="H242" s="26">
        <f t="shared" si="21"/>
        <v>3651833.6834739773</v>
      </c>
      <c r="I242" s="26">
        <f t="shared" si="23"/>
        <v>17902.150882221758</v>
      </c>
      <c r="J242" s="26">
        <f t="shared" si="22"/>
        <v>2129900</v>
      </c>
      <c r="K242" s="2">
        <f t="shared" si="18"/>
        <v>1521933.6834739773</v>
      </c>
    </row>
    <row r="243" spans="5:11" x14ac:dyDescent="0.25">
      <c r="E243">
        <v>0.23699999999999999</v>
      </c>
      <c r="F243" s="2">
        <f t="shared" si="19"/>
        <v>11860.383929038395</v>
      </c>
      <c r="G243" s="2">
        <f t="shared" si="20"/>
        <v>4269738.214453822</v>
      </c>
      <c r="H243" s="26">
        <f t="shared" si="21"/>
        <v>3669738.214453822</v>
      </c>
      <c r="I243" s="26">
        <f t="shared" si="23"/>
        <v>17904.530979844742</v>
      </c>
      <c r="J243" s="26">
        <f t="shared" si="22"/>
        <v>2138925</v>
      </c>
      <c r="K243" s="2">
        <f t="shared" si="18"/>
        <v>1530813.214453822</v>
      </c>
    </row>
    <row r="244" spans="5:11" x14ac:dyDescent="0.25">
      <c r="E244">
        <v>0.23799999999999999</v>
      </c>
      <c r="F244" s="2">
        <f t="shared" si="19"/>
        <v>11910.125193086098</v>
      </c>
      <c r="G244" s="2">
        <f t="shared" si="20"/>
        <v>4287645.0695109954</v>
      </c>
      <c r="H244" s="26">
        <f t="shared" si="21"/>
        <v>3687645.0695109954</v>
      </c>
      <c r="I244" s="26">
        <f t="shared" si="23"/>
        <v>17906.855057173409</v>
      </c>
      <c r="J244" s="26">
        <f t="shared" si="22"/>
        <v>2147950</v>
      </c>
      <c r="K244" s="2">
        <f t="shared" si="18"/>
        <v>1539695.0695109954</v>
      </c>
    </row>
    <row r="245" spans="5:11" x14ac:dyDescent="0.25">
      <c r="E245">
        <v>0.23899999999999999</v>
      </c>
      <c r="F245" s="2">
        <f t="shared" si="19"/>
        <v>11959.8727607771</v>
      </c>
      <c r="G245" s="2">
        <f t="shared" si="20"/>
        <v>4305554.1938797561</v>
      </c>
      <c r="H245" s="26">
        <f t="shared" si="21"/>
        <v>3705554.1938797561</v>
      </c>
      <c r="I245" s="26">
        <f t="shared" si="23"/>
        <v>17909.124368760735</v>
      </c>
      <c r="J245" s="26">
        <f t="shared" si="22"/>
        <v>2156975</v>
      </c>
      <c r="K245" s="2">
        <f t="shared" si="18"/>
        <v>1548579.1938797561</v>
      </c>
    </row>
    <row r="246" spans="5:11" x14ac:dyDescent="0.25">
      <c r="E246">
        <v>0.24</v>
      </c>
      <c r="F246" s="2">
        <f t="shared" si="19"/>
        <v>12009.626483397305</v>
      </c>
      <c r="G246" s="2">
        <f t="shared" si="20"/>
        <v>4323465.5340230297</v>
      </c>
      <c r="H246" s="26">
        <f t="shared" si="21"/>
        <v>3723465.5340230297</v>
      </c>
      <c r="I246" s="26">
        <f t="shared" si="23"/>
        <v>17911.340143273585</v>
      </c>
      <c r="J246" s="26">
        <f t="shared" si="22"/>
        <v>2166000</v>
      </c>
      <c r="K246" s="2">
        <f t="shared" si="18"/>
        <v>1557465.5340230297</v>
      </c>
    </row>
    <row r="247" spans="5:11" x14ac:dyDescent="0.25">
      <c r="E247">
        <v>0.24099999999999999</v>
      </c>
      <c r="F247" s="2">
        <f t="shared" si="19"/>
        <v>12059.386215574939</v>
      </c>
      <c r="G247" s="2">
        <f t="shared" si="20"/>
        <v>4341379.0376069779</v>
      </c>
      <c r="H247" s="26">
        <f t="shared" si="21"/>
        <v>3741379.0376069779</v>
      </c>
      <c r="I247" s="26">
        <f t="shared" si="23"/>
        <v>17913.503583948128</v>
      </c>
      <c r="J247" s="26">
        <f t="shared" si="22"/>
        <v>2175025</v>
      </c>
      <c r="K247" s="2">
        <f t="shared" si="18"/>
        <v>1566354.0376069779</v>
      </c>
    </row>
    <row r="248" spans="5:11" x14ac:dyDescent="0.25">
      <c r="E248">
        <v>0.24199999999999999</v>
      </c>
      <c r="F248" s="2">
        <f t="shared" si="19"/>
        <v>12109.151815211166</v>
      </c>
      <c r="G248" s="2">
        <f t="shared" si="20"/>
        <v>4359294.6534760194</v>
      </c>
      <c r="H248" s="26">
        <f t="shared" si="21"/>
        <v>3759294.6534760194</v>
      </c>
      <c r="I248" s="26">
        <f t="shared" si="23"/>
        <v>17915.615869041532</v>
      </c>
      <c r="J248" s="26">
        <f t="shared" si="22"/>
        <v>2184050</v>
      </c>
      <c r="K248" s="2">
        <f t="shared" si="18"/>
        <v>1575244.6534760194</v>
      </c>
    </row>
    <row r="249" spans="5:11" x14ac:dyDescent="0.25">
      <c r="E249">
        <v>0.24299999999999999</v>
      </c>
      <c r="F249" s="2">
        <f t="shared" si="19"/>
        <v>12158.923143411925</v>
      </c>
      <c r="G249" s="2">
        <f t="shared" si="20"/>
        <v>4377212.3316282928</v>
      </c>
      <c r="H249" s="26">
        <f t="shared" si="21"/>
        <v>3777212.3316282928</v>
      </c>
      <c r="I249" s="26">
        <f t="shared" si="23"/>
        <v>17917.678152273409</v>
      </c>
      <c r="J249" s="26">
        <f t="shared" si="22"/>
        <v>2193075</v>
      </c>
      <c r="K249" s="2">
        <f t="shared" si="18"/>
        <v>1584137.3316282928</v>
      </c>
    </row>
    <row r="250" spans="5:11" x14ac:dyDescent="0.25">
      <c r="E250">
        <v>0.24399999999999999</v>
      </c>
      <c r="F250" s="2">
        <f t="shared" si="19"/>
        <v>12208.700064421007</v>
      </c>
      <c r="G250" s="2">
        <f t="shared" si="20"/>
        <v>4395132.0231915629</v>
      </c>
      <c r="H250" s="26">
        <f t="shared" si="21"/>
        <v>3795132.0231915629</v>
      </c>
      <c r="I250" s="26">
        <f t="shared" si="23"/>
        <v>17919.691563270055</v>
      </c>
      <c r="J250" s="26">
        <f t="shared" si="22"/>
        <v>2202100</v>
      </c>
      <c r="K250" s="2">
        <f t="shared" si="18"/>
        <v>1593032.0231915629</v>
      </c>
    </row>
    <row r="251" spans="5:11" x14ac:dyDescent="0.25">
      <c r="E251">
        <v>0.245</v>
      </c>
      <c r="F251" s="2">
        <f t="shared" si="19"/>
        <v>12258.482445554362</v>
      </c>
      <c r="G251" s="2">
        <f t="shared" si="20"/>
        <v>4413053.6803995706</v>
      </c>
      <c r="H251" s="26">
        <f t="shared" si="21"/>
        <v>3813053.6803995706</v>
      </c>
      <c r="I251" s="26">
        <f t="shared" si="23"/>
        <v>17921.65720800776</v>
      </c>
      <c r="J251" s="26">
        <f t="shared" si="22"/>
        <v>2211125</v>
      </c>
      <c r="K251" s="2">
        <f t="shared" si="18"/>
        <v>1601928.6803995706</v>
      </c>
    </row>
    <row r="252" spans="5:11" x14ac:dyDescent="0.25">
      <c r="E252">
        <v>0.246</v>
      </c>
      <c r="F252" s="2">
        <f t="shared" si="19"/>
        <v>12308.270157135543</v>
      </c>
      <c r="G252" s="2">
        <f t="shared" si="20"/>
        <v>4430977.2565687951</v>
      </c>
      <c r="H252" s="26">
        <f t="shared" si="21"/>
        <v>3830977.2565687951</v>
      </c>
      <c r="I252" s="26">
        <f t="shared" si="23"/>
        <v>17923.576169224456</v>
      </c>
      <c r="J252" s="26">
        <f t="shared" si="22"/>
        <v>2220150</v>
      </c>
      <c r="K252" s="2">
        <f t="shared" si="18"/>
        <v>1610827.2565687951</v>
      </c>
    </row>
    <row r="253" spans="5:11" x14ac:dyDescent="0.25">
      <c r="E253">
        <v>0.247</v>
      </c>
      <c r="F253" s="2">
        <f t="shared" si="19"/>
        <v>12358.063072432387</v>
      </c>
      <c r="G253" s="2">
        <f t="shared" si="20"/>
        <v>4448902.706075659</v>
      </c>
      <c r="H253" s="26">
        <f t="shared" si="21"/>
        <v>3848902.706075659</v>
      </c>
      <c r="I253" s="26">
        <f t="shared" si="23"/>
        <v>17925.449506863952</v>
      </c>
      <c r="J253" s="26">
        <f t="shared" si="22"/>
        <v>2229175</v>
      </c>
      <c r="K253" s="2">
        <f t="shared" si="18"/>
        <v>1619727.706075659</v>
      </c>
    </row>
    <row r="254" spans="5:11" x14ac:dyDescent="0.25">
      <c r="E254">
        <v>0.248</v>
      </c>
      <c r="F254" s="2">
        <f t="shared" si="19"/>
        <v>12407.861067594844</v>
      </c>
      <c r="G254" s="2">
        <f t="shared" si="20"/>
        <v>4466829.9843341438</v>
      </c>
      <c r="H254" s="26">
        <f t="shared" si="21"/>
        <v>3866829.9843341438</v>
      </c>
      <c r="I254" s="26">
        <f t="shared" si="23"/>
        <v>17927.278258484788</v>
      </c>
      <c r="J254" s="26">
        <f t="shared" si="22"/>
        <v>2238200</v>
      </c>
      <c r="K254" s="2">
        <f t="shared" si="18"/>
        <v>1628629.9843341438</v>
      </c>
    </row>
    <row r="255" spans="5:11" x14ac:dyDescent="0.25">
      <c r="E255">
        <v>0.249</v>
      </c>
      <c r="F255" s="2">
        <f t="shared" si="19"/>
        <v>12457.664021593939</v>
      </c>
      <c r="G255" s="2">
        <f t="shared" si="20"/>
        <v>4484759.0477738176</v>
      </c>
      <c r="H255" s="26">
        <f t="shared" si="21"/>
        <v>3884759.0477738176</v>
      </c>
      <c r="I255" s="26">
        <f t="shared" si="23"/>
        <v>17929.063439673744</v>
      </c>
      <c r="J255" s="26">
        <f t="shared" si="22"/>
        <v>2247225</v>
      </c>
      <c r="K255" s="2">
        <f t="shared" si="18"/>
        <v>1637534.0477738176</v>
      </c>
    </row>
    <row r="256" spans="5:11" x14ac:dyDescent="0.25">
      <c r="E256">
        <v>0.25</v>
      </c>
      <c r="F256" s="2">
        <f t="shared" si="19"/>
        <v>12507.471816161873</v>
      </c>
      <c r="G256" s="2">
        <f t="shared" si="20"/>
        <v>4502689.8538182741</v>
      </c>
      <c r="H256" s="26">
        <f t="shared" si="21"/>
        <v>3902689.8538182741</v>
      </c>
      <c r="I256" s="26">
        <f t="shared" si="23"/>
        <v>17930.806044456549</v>
      </c>
      <c r="J256" s="26">
        <f t="shared" si="22"/>
        <v>2256250</v>
      </c>
      <c r="K256" s="2">
        <f t="shared" si="18"/>
        <v>1646439.8538182741</v>
      </c>
    </row>
    <row r="257" spans="5:11" x14ac:dyDescent="0.25">
      <c r="E257">
        <v>0.251</v>
      </c>
      <c r="F257" s="2">
        <f t="shared" si="19"/>
        <v>12557.284335733264</v>
      </c>
      <c r="G257" s="2">
        <f t="shared" si="20"/>
        <v>4520622.3608639752</v>
      </c>
      <c r="H257" s="26">
        <f t="shared" si="21"/>
        <v>3920622.3608639752</v>
      </c>
      <c r="I257" s="26">
        <f t="shared" si="23"/>
        <v>17932.507045701146</v>
      </c>
      <c r="J257" s="26">
        <f t="shared" si="22"/>
        <v>2265275</v>
      </c>
      <c r="K257" s="2">
        <f t="shared" si="18"/>
        <v>1655347.3608639752</v>
      </c>
    </row>
    <row r="258" spans="5:11" x14ac:dyDescent="0.25">
      <c r="E258">
        <v>0.252</v>
      </c>
      <c r="F258" s="2">
        <f t="shared" si="19"/>
        <v>12607.101467387471</v>
      </c>
      <c r="G258" s="2">
        <f t="shared" si="20"/>
        <v>4538556.5282594897</v>
      </c>
      <c r="H258" s="26">
        <f t="shared" si="21"/>
        <v>3938556.5282594897</v>
      </c>
      <c r="I258" s="26">
        <f t="shared" si="23"/>
        <v>17934.167395514436</v>
      </c>
      <c r="J258" s="26">
        <f t="shared" si="22"/>
        <v>2274300</v>
      </c>
      <c r="K258" s="2">
        <f t="shared" si="18"/>
        <v>1664256.5282594897</v>
      </c>
    </row>
    <row r="259" spans="5:11" x14ac:dyDescent="0.25">
      <c r="E259">
        <v>0.253</v>
      </c>
      <c r="F259" s="2">
        <f t="shared" si="19"/>
        <v>12656.923100791999</v>
      </c>
      <c r="G259" s="2">
        <f t="shared" si="20"/>
        <v>4556492.3162851194</v>
      </c>
      <c r="H259" s="26">
        <f t="shared" si="21"/>
        <v>3956492.3162851194</v>
      </c>
      <c r="I259" s="26">
        <f t="shared" si="23"/>
        <v>17935.788025629707</v>
      </c>
      <c r="J259" s="26">
        <f t="shared" si="22"/>
        <v>2283325</v>
      </c>
      <c r="K259" s="2">
        <f t="shared" si="18"/>
        <v>1673167.3162851194</v>
      </c>
    </row>
    <row r="260" spans="5:11" x14ac:dyDescent="0.25">
      <c r="E260">
        <v>0.254</v>
      </c>
      <c r="F260" s="2">
        <f t="shared" si="19"/>
        <v>12706.749128147008</v>
      </c>
      <c r="G260" s="2">
        <f t="shared" si="20"/>
        <v>4574429.6861329228</v>
      </c>
      <c r="H260" s="26">
        <f t="shared" si="21"/>
        <v>3974429.6861329228</v>
      </c>
      <c r="I260" s="26">
        <f t="shared" si="23"/>
        <v>17937.369847803377</v>
      </c>
      <c r="J260" s="26">
        <f t="shared" si="22"/>
        <v>2292350</v>
      </c>
      <c r="K260" s="2">
        <f t="shared" si="18"/>
        <v>1682079.6861329228</v>
      </c>
    </row>
    <row r="261" spans="5:11" x14ac:dyDescent="0.25">
      <c r="E261">
        <v>0.255</v>
      </c>
      <c r="F261" s="2">
        <f t="shared" si="19"/>
        <v>12756.579444130841</v>
      </c>
      <c r="G261" s="2">
        <f t="shared" si="20"/>
        <v>4592368.5998871028</v>
      </c>
      <c r="H261" s="26">
        <f t="shared" si="21"/>
        <v>3992368.5998871028</v>
      </c>
      <c r="I261" s="26">
        <f t="shared" si="23"/>
        <v>17938.913754180074</v>
      </c>
      <c r="J261" s="26">
        <f t="shared" si="22"/>
        <v>2301375</v>
      </c>
      <c r="K261" s="2">
        <f t="shared" si="18"/>
        <v>1690993.5998871028</v>
      </c>
    </row>
    <row r="262" spans="5:11" x14ac:dyDescent="0.25">
      <c r="E262">
        <v>0.25600000000000001</v>
      </c>
      <c r="F262" s="2">
        <f t="shared" si="19"/>
        <v>12806.41394584662</v>
      </c>
      <c r="G262" s="2">
        <f t="shared" si="20"/>
        <v>4610309.0205047829</v>
      </c>
      <c r="H262" s="26">
        <f t="shared" si="21"/>
        <v>4010309.0205047829</v>
      </c>
      <c r="I262" s="26">
        <f t="shared" si="23"/>
        <v>17940.420617680065</v>
      </c>
      <c r="J262" s="26">
        <f t="shared" si="22"/>
        <v>2310400</v>
      </c>
      <c r="K262" s="2">
        <f t="shared" ref="K262:K325" si="24">H262-J262</f>
        <v>1699909.0205047829</v>
      </c>
    </row>
    <row r="263" spans="5:11" x14ac:dyDescent="0.25">
      <c r="E263">
        <v>0.25700000000000001</v>
      </c>
      <c r="F263" s="2">
        <f t="shared" ref="F263:F326" si="25">PMT(E263/12,$C$7,-$C$6,0,0)</f>
        <v>12856.252532769868</v>
      </c>
      <c r="G263" s="2">
        <f t="shared" ref="G263:G326" si="26">360*F263</f>
        <v>4628250.9117971528</v>
      </c>
      <c r="H263" s="26">
        <f t="shared" ref="H263:H326" si="27">360*F263-$C$6</f>
        <v>4028250.9117971528</v>
      </c>
      <c r="I263" s="26">
        <f t="shared" si="23"/>
        <v>17941.891292369924</v>
      </c>
      <c r="J263" s="26">
        <f t="shared" ref="J263:J326" si="28">$C$6*E263/12*($C$7+1)/2</f>
        <v>2319425</v>
      </c>
      <c r="K263" s="2">
        <f t="shared" si="24"/>
        <v>1708825.9117971528</v>
      </c>
    </row>
    <row r="264" spans="5:11" x14ac:dyDescent="0.25">
      <c r="E264">
        <v>0.25800000000000001</v>
      </c>
      <c r="F264" s="2">
        <f t="shared" si="25"/>
        <v>12906.095106697116</v>
      </c>
      <c r="G264" s="2">
        <f t="shared" si="26"/>
        <v>4646194.2384109618</v>
      </c>
      <c r="H264" s="26">
        <f t="shared" si="27"/>
        <v>4046194.2384109618</v>
      </c>
      <c r="I264" s="26">
        <f t="shared" si="23"/>
        <v>17943.326613808982</v>
      </c>
      <c r="J264" s="26">
        <f t="shared" si="28"/>
        <v>2328450</v>
      </c>
      <c r="K264" s="2">
        <f t="shared" si="24"/>
        <v>1717744.2384109618</v>
      </c>
    </row>
    <row r="265" spans="5:11" x14ac:dyDescent="0.25">
      <c r="E265">
        <v>0.25900000000000001</v>
      </c>
      <c r="F265" s="2">
        <f t="shared" si="25"/>
        <v>12955.941571695537</v>
      </c>
      <c r="G265" s="2">
        <f t="shared" si="26"/>
        <v>4664138.965810393</v>
      </c>
      <c r="H265" s="26">
        <f t="shared" si="27"/>
        <v>4064138.965810393</v>
      </c>
      <c r="I265" s="26">
        <f t="shared" ref="I265:I328" si="29">H265-H264</f>
        <v>17944.727399431169</v>
      </c>
      <c r="J265" s="26">
        <f t="shared" si="28"/>
        <v>2337475</v>
      </c>
      <c r="K265" s="2">
        <f t="shared" si="24"/>
        <v>1726663.965810393</v>
      </c>
    </row>
    <row r="266" spans="5:11" x14ac:dyDescent="0.25">
      <c r="E266">
        <v>0.26</v>
      </c>
      <c r="F266" s="2">
        <f t="shared" si="25"/>
        <v>13005.791834053562</v>
      </c>
      <c r="G266" s="2">
        <f t="shared" si="26"/>
        <v>4682085.0602592826</v>
      </c>
      <c r="H266" s="26">
        <f t="shared" si="27"/>
        <v>4082085.0602592826</v>
      </c>
      <c r="I266" s="26">
        <f t="shared" si="29"/>
        <v>17946.094448889606</v>
      </c>
      <c r="J266" s="26">
        <f t="shared" si="28"/>
        <v>2346500</v>
      </c>
      <c r="K266" s="2">
        <f t="shared" si="24"/>
        <v>1735585.0602592826</v>
      </c>
    </row>
    <row r="267" spans="5:11" x14ac:dyDescent="0.25">
      <c r="E267">
        <v>0.26100000000000001</v>
      </c>
      <c r="F267" s="2">
        <f t="shared" si="25"/>
        <v>13055.64580223242</v>
      </c>
      <c r="G267" s="2">
        <f t="shared" si="26"/>
        <v>4700032.4888036717</v>
      </c>
      <c r="H267" s="26">
        <f t="shared" si="27"/>
        <v>4100032.4888036717</v>
      </c>
      <c r="I267" s="26">
        <f t="shared" si="29"/>
        <v>17947.428544389084</v>
      </c>
      <c r="J267" s="26">
        <f t="shared" si="28"/>
        <v>2355525</v>
      </c>
      <c r="K267" s="2">
        <f t="shared" si="24"/>
        <v>1744507.4888036717</v>
      </c>
    </row>
    <row r="268" spans="5:11" x14ac:dyDescent="0.25">
      <c r="E268">
        <v>0.26200000000000001</v>
      </c>
      <c r="F268" s="2">
        <f t="shared" si="25"/>
        <v>13105.503386818678</v>
      </c>
      <c r="G268" s="2">
        <f t="shared" si="26"/>
        <v>4717981.2192547238</v>
      </c>
      <c r="H268" s="26">
        <f t="shared" si="27"/>
        <v>4117981.2192547238</v>
      </c>
      <c r="I268" s="26">
        <f t="shared" si="29"/>
        <v>17948.730451052077</v>
      </c>
      <c r="J268" s="26">
        <f t="shared" si="28"/>
        <v>2364550</v>
      </c>
      <c r="K268" s="2">
        <f t="shared" si="24"/>
        <v>1753431.2192547238</v>
      </c>
    </row>
    <row r="269" spans="5:11" x14ac:dyDescent="0.25">
      <c r="E269">
        <v>0.26300000000000001</v>
      </c>
      <c r="F269" s="2">
        <f t="shared" si="25"/>
        <v>13155.364500477701</v>
      </c>
      <c r="G269" s="2">
        <f t="shared" si="26"/>
        <v>4735931.2201719722</v>
      </c>
      <c r="H269" s="26">
        <f t="shared" si="27"/>
        <v>4135931.2201719722</v>
      </c>
      <c r="I269" s="26">
        <f t="shared" si="29"/>
        <v>17950.000917248428</v>
      </c>
      <c r="J269" s="26">
        <f t="shared" si="28"/>
        <v>2373575</v>
      </c>
      <c r="K269" s="2">
        <f t="shared" si="24"/>
        <v>1762356.2201719722</v>
      </c>
    </row>
    <row r="270" spans="5:11" x14ac:dyDescent="0.25">
      <c r="E270">
        <v>0.26400000000000001</v>
      </c>
      <c r="F270" s="2">
        <f t="shared" si="25"/>
        <v>13205.229057908002</v>
      </c>
      <c r="G270" s="2">
        <f t="shared" si="26"/>
        <v>4753882.4608468805</v>
      </c>
      <c r="H270" s="26">
        <f t="shared" si="27"/>
        <v>4153882.4608468805</v>
      </c>
      <c r="I270" s="26">
        <f t="shared" si="29"/>
        <v>17951.240674908273</v>
      </c>
      <c r="J270" s="26">
        <f t="shared" si="28"/>
        <v>2382600</v>
      </c>
      <c r="K270" s="2">
        <f t="shared" si="24"/>
        <v>1771282.4608468805</v>
      </c>
    </row>
    <row r="271" spans="5:11" x14ac:dyDescent="0.25">
      <c r="E271">
        <v>0.26500000000000001</v>
      </c>
      <c r="F271" s="2">
        <f t="shared" si="25"/>
        <v>13255.096975796561</v>
      </c>
      <c r="G271" s="2">
        <f t="shared" si="26"/>
        <v>4771834.911286762</v>
      </c>
      <c r="H271" s="26">
        <f t="shared" si="27"/>
        <v>4171834.911286762</v>
      </c>
      <c r="I271" s="26">
        <f t="shared" si="29"/>
        <v>17952.450439881533</v>
      </c>
      <c r="J271" s="26">
        <f t="shared" si="28"/>
        <v>2391625</v>
      </c>
      <c r="K271" s="2">
        <f t="shared" si="24"/>
        <v>1780209.911286762</v>
      </c>
    </row>
    <row r="272" spans="5:11" x14ac:dyDescent="0.25">
      <c r="E272">
        <v>0.26600000000000001</v>
      </c>
      <c r="F272" s="2">
        <f t="shared" si="25"/>
        <v>13304.968172774981</v>
      </c>
      <c r="G272" s="2">
        <f t="shared" si="26"/>
        <v>4789788.5421989933</v>
      </c>
      <c r="H272" s="26">
        <f t="shared" si="27"/>
        <v>4189788.5421989933</v>
      </c>
      <c r="I272" s="26">
        <f t="shared" si="29"/>
        <v>17953.630912231281</v>
      </c>
      <c r="J272" s="26">
        <f t="shared" si="28"/>
        <v>2400650</v>
      </c>
      <c r="K272" s="2">
        <f t="shared" si="24"/>
        <v>1789138.5421989933</v>
      </c>
    </row>
    <row r="273" spans="5:11" x14ac:dyDescent="0.25">
      <c r="E273">
        <v>0.26700000000000002</v>
      </c>
      <c r="F273" s="2">
        <f t="shared" si="25"/>
        <v>13354.842569376544</v>
      </c>
      <c r="G273" s="2">
        <f t="shared" si="26"/>
        <v>4807743.3249755558</v>
      </c>
      <c r="H273" s="26">
        <f t="shared" si="27"/>
        <v>4207743.3249755558</v>
      </c>
      <c r="I273" s="26">
        <f t="shared" si="29"/>
        <v>17954.782776562497</v>
      </c>
      <c r="J273" s="26">
        <f t="shared" si="28"/>
        <v>2409675</v>
      </c>
      <c r="K273" s="2">
        <f t="shared" si="24"/>
        <v>1798068.3249755558</v>
      </c>
    </row>
    <row r="274" spans="5:11" x14ac:dyDescent="0.25">
      <c r="E274">
        <v>0.26800000000000002</v>
      </c>
      <c r="F274" s="2">
        <f t="shared" si="25"/>
        <v>13404.720087994121</v>
      </c>
      <c r="G274" s="2">
        <f t="shared" si="26"/>
        <v>4825699.2316778833</v>
      </c>
      <c r="H274" s="26">
        <f t="shared" si="27"/>
        <v>4225699.2316778833</v>
      </c>
      <c r="I274" s="26">
        <f t="shared" si="29"/>
        <v>17955.906702327542</v>
      </c>
      <c r="J274" s="26">
        <f t="shared" si="28"/>
        <v>2418700</v>
      </c>
      <c r="K274" s="2">
        <f t="shared" si="24"/>
        <v>1806999.2316778833</v>
      </c>
    </row>
    <row r="275" spans="5:11" x14ac:dyDescent="0.25">
      <c r="E275">
        <v>0.26900000000000002</v>
      </c>
      <c r="F275" s="2">
        <f t="shared" si="25"/>
        <v>13454.600652838963</v>
      </c>
      <c r="G275" s="2">
        <f t="shared" si="26"/>
        <v>4843656.2350220261</v>
      </c>
      <c r="H275" s="26">
        <f t="shared" si="27"/>
        <v>4243656.2350220261</v>
      </c>
      <c r="I275" s="26">
        <f t="shared" si="29"/>
        <v>17957.00334414281</v>
      </c>
      <c r="J275" s="26">
        <f t="shared" si="28"/>
        <v>2427725</v>
      </c>
      <c r="K275" s="2">
        <f t="shared" si="24"/>
        <v>1815931.2350220261</v>
      </c>
    </row>
    <row r="276" spans="5:11" x14ac:dyDescent="0.25">
      <c r="E276">
        <v>0.27</v>
      </c>
      <c r="F276" s="2">
        <f t="shared" si="25"/>
        <v>13504.484189900269</v>
      </c>
      <c r="G276" s="2">
        <f t="shared" si="26"/>
        <v>4861614.308364097</v>
      </c>
      <c r="H276" s="26">
        <f t="shared" si="27"/>
        <v>4261614.308364097</v>
      </c>
      <c r="I276" s="26">
        <f t="shared" si="29"/>
        <v>17958.073342070915</v>
      </c>
      <c r="J276" s="26">
        <f t="shared" si="28"/>
        <v>2436750</v>
      </c>
      <c r="K276" s="2">
        <f t="shared" si="24"/>
        <v>1824864.308364097</v>
      </c>
    </row>
    <row r="277" spans="5:11" x14ac:dyDescent="0.25">
      <c r="E277">
        <v>0.27100000000000002</v>
      </c>
      <c r="F277" s="2">
        <f t="shared" si="25"/>
        <v>13554.370626905618</v>
      </c>
      <c r="G277" s="2">
        <f t="shared" si="26"/>
        <v>4879573.4256860223</v>
      </c>
      <c r="H277" s="26">
        <f t="shared" si="27"/>
        <v>4279573.4256860223</v>
      </c>
      <c r="I277" s="26">
        <f t="shared" si="29"/>
        <v>17959.117321925238</v>
      </c>
      <c r="J277" s="26">
        <f t="shared" si="28"/>
        <v>2445775</v>
      </c>
      <c r="K277" s="2">
        <f t="shared" si="24"/>
        <v>1833798.4256860223</v>
      </c>
    </row>
    <row r="278" spans="5:11" x14ac:dyDescent="0.25">
      <c r="E278">
        <v>0.27200000000000002</v>
      </c>
      <c r="F278" s="2">
        <f t="shared" si="25"/>
        <v>13604.259893282206</v>
      </c>
      <c r="G278" s="2">
        <f t="shared" si="26"/>
        <v>4897533.5615815939</v>
      </c>
      <c r="H278" s="26">
        <f t="shared" si="27"/>
        <v>4297533.5615815939</v>
      </c>
      <c r="I278" s="26">
        <f t="shared" si="29"/>
        <v>17960.135895571671</v>
      </c>
      <c r="J278" s="26">
        <f t="shared" si="28"/>
        <v>2454800</v>
      </c>
      <c r="K278" s="2">
        <f t="shared" si="24"/>
        <v>1842733.5615815939</v>
      </c>
    </row>
    <row r="279" spans="5:11" x14ac:dyDescent="0.25">
      <c r="E279">
        <v>0.27300000000000002</v>
      </c>
      <c r="F279" s="2">
        <f t="shared" si="25"/>
        <v>13654.151920118855</v>
      </c>
      <c r="G279" s="2">
        <f t="shared" si="26"/>
        <v>4915494.691242788</v>
      </c>
      <c r="H279" s="26">
        <f t="shared" si="27"/>
        <v>4315494.691242788</v>
      </c>
      <c r="I279" s="26">
        <f t="shared" si="29"/>
        <v>17961.129661194049</v>
      </c>
      <c r="J279" s="26">
        <f t="shared" si="28"/>
        <v>2463825</v>
      </c>
      <c r="K279" s="2">
        <f t="shared" si="24"/>
        <v>1851669.691242788</v>
      </c>
    </row>
    <row r="280" spans="5:11" x14ac:dyDescent="0.25">
      <c r="E280">
        <v>0.27400000000000002</v>
      </c>
      <c r="F280" s="2">
        <f t="shared" si="25"/>
        <v>13704.046640128812</v>
      </c>
      <c r="G280" s="2">
        <f t="shared" si="26"/>
        <v>4933456.7904463727</v>
      </c>
      <c r="H280" s="26">
        <f t="shared" si="27"/>
        <v>4333456.7904463727</v>
      </c>
      <c r="I280" s="26">
        <f t="shared" si="29"/>
        <v>17962.099203584716</v>
      </c>
      <c r="J280" s="26">
        <f t="shared" si="28"/>
        <v>2472850</v>
      </c>
      <c r="K280" s="2">
        <f t="shared" si="24"/>
        <v>1860606.7904463727</v>
      </c>
    </row>
    <row r="281" spans="5:11" x14ac:dyDescent="0.25">
      <c r="E281">
        <v>0.27500000000000002</v>
      </c>
      <c r="F281" s="2">
        <f t="shared" si="25"/>
        <v>13753.943987613326</v>
      </c>
      <c r="G281" s="2">
        <f t="shared" si="26"/>
        <v>4951419.8355407976</v>
      </c>
      <c r="H281" s="26">
        <f t="shared" si="27"/>
        <v>4351419.8355407976</v>
      </c>
      <c r="I281" s="26">
        <f t="shared" si="29"/>
        <v>17963.045094424859</v>
      </c>
      <c r="J281" s="26">
        <f t="shared" si="28"/>
        <v>2481875</v>
      </c>
      <c r="K281" s="2">
        <f t="shared" si="24"/>
        <v>1869544.8355407976</v>
      </c>
    </row>
    <row r="282" spans="5:11" x14ac:dyDescent="0.25">
      <c r="E282">
        <v>0.27600000000000002</v>
      </c>
      <c r="F282" s="2">
        <f t="shared" si="25"/>
        <v>13803.843898425948</v>
      </c>
      <c r="G282" s="2">
        <f t="shared" si="26"/>
        <v>4969383.803433341</v>
      </c>
      <c r="H282" s="26">
        <f t="shared" si="27"/>
        <v>4369383.803433341</v>
      </c>
      <c r="I282" s="26">
        <f t="shared" si="29"/>
        <v>17963.967892543413</v>
      </c>
      <c r="J282" s="26">
        <f t="shared" si="28"/>
        <v>2490900</v>
      </c>
      <c r="K282" s="2">
        <f t="shared" si="24"/>
        <v>1878483.803433341</v>
      </c>
    </row>
    <row r="283" spans="5:11" x14ac:dyDescent="0.25">
      <c r="E283">
        <v>0.27700000000000002</v>
      </c>
      <c r="F283" s="2">
        <f t="shared" si="25"/>
        <v>13853.746309937595</v>
      </c>
      <c r="G283" s="2">
        <f t="shared" si="26"/>
        <v>4987348.6715775337</v>
      </c>
      <c r="H283" s="26">
        <f t="shared" si="27"/>
        <v>4387348.6715775337</v>
      </c>
      <c r="I283" s="26">
        <f t="shared" si="29"/>
        <v>17964.868144192733</v>
      </c>
      <c r="J283" s="26">
        <f t="shared" si="28"/>
        <v>2499925</v>
      </c>
      <c r="K283" s="2">
        <f t="shared" si="24"/>
        <v>1887423.6715775337</v>
      </c>
    </row>
    <row r="284" spans="5:11" x14ac:dyDescent="0.25">
      <c r="E284">
        <v>0.27800000000000002</v>
      </c>
      <c r="F284" s="2">
        <f t="shared" si="25"/>
        <v>13903.651161002341</v>
      </c>
      <c r="G284" s="2">
        <f t="shared" si="26"/>
        <v>5005314.4179608431</v>
      </c>
      <c r="H284" s="26">
        <f t="shared" si="27"/>
        <v>4405314.4179608431</v>
      </c>
      <c r="I284" s="26">
        <f t="shared" si="29"/>
        <v>17965.746383309364</v>
      </c>
      <c r="J284" s="26">
        <f t="shared" si="28"/>
        <v>2508950.0000000005</v>
      </c>
      <c r="K284" s="2">
        <f t="shared" si="24"/>
        <v>1896364.4179608426</v>
      </c>
    </row>
    <row r="285" spans="5:11" x14ac:dyDescent="0.25">
      <c r="E285">
        <v>0.27900000000000003</v>
      </c>
      <c r="F285" s="2">
        <f t="shared" si="25"/>
        <v>13953.558391923905</v>
      </c>
      <c r="G285" s="2">
        <f t="shared" si="26"/>
        <v>5023281.0210926058</v>
      </c>
      <c r="H285" s="26">
        <f t="shared" si="27"/>
        <v>4423281.0210926058</v>
      </c>
      <c r="I285" s="26">
        <f t="shared" si="29"/>
        <v>17966.603131762706</v>
      </c>
      <c r="J285" s="26">
        <f t="shared" si="28"/>
        <v>2517975.0000000005</v>
      </c>
      <c r="K285" s="2">
        <f t="shared" si="24"/>
        <v>1905306.0210926053</v>
      </c>
    </row>
    <row r="286" spans="5:11" x14ac:dyDescent="0.25">
      <c r="E286">
        <v>0.28000000000000003</v>
      </c>
      <c r="F286" s="2">
        <f t="shared" si="25"/>
        <v>14003.467944422837</v>
      </c>
      <c r="G286" s="2">
        <f t="shared" si="26"/>
        <v>5041248.4599922216</v>
      </c>
      <c r="H286" s="26">
        <f t="shared" si="27"/>
        <v>4441248.4599922216</v>
      </c>
      <c r="I286" s="26">
        <f t="shared" si="29"/>
        <v>17967.43889961578</v>
      </c>
      <c r="J286" s="26">
        <f t="shared" si="28"/>
        <v>2527000.0000000005</v>
      </c>
      <c r="K286" s="2">
        <f t="shared" si="24"/>
        <v>1914248.4599922211</v>
      </c>
    </row>
    <row r="287" spans="5:11" x14ac:dyDescent="0.25">
      <c r="E287">
        <v>0.28100000000000003</v>
      </c>
      <c r="F287" s="2">
        <f t="shared" si="25"/>
        <v>14053.379761604427</v>
      </c>
      <c r="G287" s="2">
        <f t="shared" si="26"/>
        <v>5059216.7141775936</v>
      </c>
      <c r="H287" s="26">
        <f t="shared" si="27"/>
        <v>4459216.7141775936</v>
      </c>
      <c r="I287" s="26">
        <f t="shared" si="29"/>
        <v>17968.254185372032</v>
      </c>
      <c r="J287" s="26">
        <f t="shared" si="28"/>
        <v>2536025.0000000005</v>
      </c>
      <c r="K287" s="2">
        <f t="shared" si="24"/>
        <v>1923191.7141775931</v>
      </c>
    </row>
    <row r="288" spans="5:11" x14ac:dyDescent="0.25">
      <c r="E288">
        <v>0.28199999999999997</v>
      </c>
      <c r="F288" s="2">
        <f t="shared" si="25"/>
        <v>14103.293787927234</v>
      </c>
      <c r="G288" s="2">
        <f t="shared" si="26"/>
        <v>5077185.7636538045</v>
      </c>
      <c r="H288" s="26">
        <f t="shared" si="27"/>
        <v>4477185.7636538045</v>
      </c>
      <c r="I288" s="26">
        <f t="shared" si="29"/>
        <v>17969.049476210959</v>
      </c>
      <c r="J288" s="26">
        <f t="shared" si="28"/>
        <v>2545049.9999999995</v>
      </c>
      <c r="K288" s="2">
        <f t="shared" si="24"/>
        <v>1932135.763653805</v>
      </c>
    </row>
    <row r="289" spans="5:11" x14ac:dyDescent="0.25">
      <c r="E289">
        <v>0.28299999999999997</v>
      </c>
      <c r="F289" s="2">
        <f t="shared" si="25"/>
        <v>14153.209969172343</v>
      </c>
      <c r="G289" s="2">
        <f t="shared" si="26"/>
        <v>5095155.5889020432</v>
      </c>
      <c r="H289" s="26">
        <f t="shared" si="27"/>
        <v>4495155.5889020432</v>
      </c>
      <c r="I289" s="26">
        <f t="shared" si="29"/>
        <v>17969.825248238631</v>
      </c>
      <c r="J289" s="26">
        <f t="shared" si="28"/>
        <v>2554074.9999999995</v>
      </c>
      <c r="K289" s="2">
        <f t="shared" si="24"/>
        <v>1941080.5889020436</v>
      </c>
    </row>
    <row r="290" spans="5:11" x14ac:dyDescent="0.25">
      <c r="E290">
        <v>0.28399999999999997</v>
      </c>
      <c r="F290" s="2">
        <f t="shared" si="25"/>
        <v>14203.128252413204</v>
      </c>
      <c r="G290" s="2">
        <f t="shared" si="26"/>
        <v>5113126.1708687535</v>
      </c>
      <c r="H290" s="26">
        <f t="shared" si="27"/>
        <v>4513126.1708687535</v>
      </c>
      <c r="I290" s="26">
        <f t="shared" si="29"/>
        <v>17970.581966710277</v>
      </c>
      <c r="J290" s="26">
        <f t="shared" si="28"/>
        <v>2563099.9999999995</v>
      </c>
      <c r="K290" s="2">
        <f t="shared" si="24"/>
        <v>1950026.1708687539</v>
      </c>
    </row>
    <row r="291" spans="5:11" x14ac:dyDescent="0.25">
      <c r="E291">
        <v>0.28499999999999998</v>
      </c>
      <c r="F291" s="2">
        <f t="shared" si="25"/>
        <v>14253.048585986158</v>
      </c>
      <c r="G291" s="2">
        <f t="shared" si="26"/>
        <v>5131097.4909550166</v>
      </c>
      <c r="H291" s="26">
        <f t="shared" si="27"/>
        <v>4531097.4909550166</v>
      </c>
      <c r="I291" s="26">
        <f t="shared" si="29"/>
        <v>17971.32008626312</v>
      </c>
      <c r="J291" s="26">
        <f t="shared" si="28"/>
        <v>2572124.9999999995</v>
      </c>
      <c r="K291" s="2">
        <f t="shared" si="24"/>
        <v>1958972.490955017</v>
      </c>
    </row>
    <row r="292" spans="5:11" x14ac:dyDescent="0.25">
      <c r="E292">
        <v>0.28599999999999998</v>
      </c>
      <c r="F292" s="2">
        <f t="shared" si="25"/>
        <v>14302.970919461588</v>
      </c>
      <c r="G292" s="2">
        <f t="shared" si="26"/>
        <v>5149069.5310061714</v>
      </c>
      <c r="H292" s="26">
        <f t="shared" si="27"/>
        <v>4549069.5310061714</v>
      </c>
      <c r="I292" s="26">
        <f t="shared" si="29"/>
        <v>17972.040051154792</v>
      </c>
      <c r="J292" s="26">
        <f t="shared" si="28"/>
        <v>2581150</v>
      </c>
      <c r="K292" s="2">
        <f t="shared" si="24"/>
        <v>1967919.5310061714</v>
      </c>
    </row>
    <row r="293" spans="5:11" x14ac:dyDescent="0.25">
      <c r="E293">
        <v>0.28699999999999998</v>
      </c>
      <c r="F293" s="2">
        <f t="shared" si="25"/>
        <v>14352.895203615655</v>
      </c>
      <c r="G293" s="2">
        <f t="shared" si="26"/>
        <v>5167042.2733016359</v>
      </c>
      <c r="H293" s="26">
        <f t="shared" si="27"/>
        <v>4567042.2733016359</v>
      </c>
      <c r="I293" s="26">
        <f t="shared" si="29"/>
        <v>17972.742295464501</v>
      </c>
      <c r="J293" s="26">
        <f t="shared" si="28"/>
        <v>2590175</v>
      </c>
      <c r="K293" s="2">
        <f t="shared" si="24"/>
        <v>1976867.2733016359</v>
      </c>
    </row>
    <row r="294" spans="5:11" x14ac:dyDescent="0.25">
      <c r="E294">
        <v>0.28799999999999998</v>
      </c>
      <c r="F294" s="2">
        <f t="shared" si="25"/>
        <v>14402.821390402656</v>
      </c>
      <c r="G294" s="2">
        <f t="shared" si="26"/>
        <v>5185015.7005449561</v>
      </c>
      <c r="H294" s="26">
        <f t="shared" si="27"/>
        <v>4585015.7005449561</v>
      </c>
      <c r="I294" s="26">
        <f t="shared" si="29"/>
        <v>17973.427243320271</v>
      </c>
      <c r="J294" s="26">
        <f t="shared" si="28"/>
        <v>2599200</v>
      </c>
      <c r="K294" s="2">
        <f t="shared" si="24"/>
        <v>1985815.7005449561</v>
      </c>
    </row>
    <row r="295" spans="5:11" x14ac:dyDescent="0.25">
      <c r="E295">
        <v>0.28899999999999998</v>
      </c>
      <c r="F295" s="2">
        <f t="shared" si="25"/>
        <v>14452.749432927987</v>
      </c>
      <c r="G295" s="2">
        <f t="shared" si="26"/>
        <v>5202989.7958540749</v>
      </c>
      <c r="H295" s="26">
        <f t="shared" si="27"/>
        <v>4602989.7958540749</v>
      </c>
      <c r="I295" s="26">
        <f t="shared" si="29"/>
        <v>17974.09530911874</v>
      </c>
      <c r="J295" s="26">
        <f t="shared" si="28"/>
        <v>2608225</v>
      </c>
      <c r="K295" s="2">
        <f t="shared" si="24"/>
        <v>1994764.7958540749</v>
      </c>
    </row>
    <row r="296" spans="5:11" x14ac:dyDescent="0.25">
      <c r="E296">
        <v>0.28999999999999998</v>
      </c>
      <c r="F296" s="2">
        <f t="shared" si="25"/>
        <v>14502.679285421671</v>
      </c>
      <c r="G296" s="2">
        <f t="shared" si="26"/>
        <v>5220964.5427518012</v>
      </c>
      <c r="H296" s="26">
        <f t="shared" si="27"/>
        <v>4620964.5427518012</v>
      </c>
      <c r="I296" s="26">
        <f t="shared" si="29"/>
        <v>17974.74689772632</v>
      </c>
      <c r="J296" s="26">
        <f t="shared" si="28"/>
        <v>2617250</v>
      </c>
      <c r="K296" s="2">
        <f t="shared" si="24"/>
        <v>2003714.5427518012</v>
      </c>
    </row>
    <row r="297" spans="5:11" x14ac:dyDescent="0.25">
      <c r="E297">
        <v>0.29099999999999998</v>
      </c>
      <c r="F297" s="2">
        <f t="shared" si="25"/>
        <v>14552.610903212442</v>
      </c>
      <c r="G297" s="2">
        <f t="shared" si="26"/>
        <v>5238939.9251564788</v>
      </c>
      <c r="H297" s="26">
        <f t="shared" si="27"/>
        <v>4638939.9251564788</v>
      </c>
      <c r="I297" s="26">
        <f t="shared" si="29"/>
        <v>17975.38240467757</v>
      </c>
      <c r="J297" s="26">
        <f t="shared" si="28"/>
        <v>2626275</v>
      </c>
      <c r="K297" s="2">
        <f t="shared" si="24"/>
        <v>2012664.9251564788</v>
      </c>
    </row>
    <row r="298" spans="5:11" x14ac:dyDescent="0.25">
      <c r="E298">
        <v>0.29199999999999998</v>
      </c>
      <c r="F298" s="2">
        <f t="shared" si="25"/>
        <v>14602.544242702434</v>
      </c>
      <c r="G298" s="2">
        <f t="shared" si="26"/>
        <v>5256915.9273728766</v>
      </c>
      <c r="H298" s="26">
        <f t="shared" si="27"/>
        <v>4656915.9273728766</v>
      </c>
      <c r="I298" s="26">
        <f t="shared" si="29"/>
        <v>17976.002216397785</v>
      </c>
      <c r="J298" s="26">
        <f t="shared" si="28"/>
        <v>2635300</v>
      </c>
      <c r="K298" s="2">
        <f t="shared" si="24"/>
        <v>2021615.9273728766</v>
      </c>
    </row>
    <row r="299" spans="5:11" x14ac:dyDescent="0.25">
      <c r="E299">
        <v>0.29299999999999998</v>
      </c>
      <c r="F299" s="2">
        <f t="shared" si="25"/>
        <v>14652.47926134236</v>
      </c>
      <c r="G299" s="2">
        <f t="shared" si="26"/>
        <v>5274892.534083249</v>
      </c>
      <c r="H299" s="26">
        <f t="shared" si="27"/>
        <v>4674892.534083249</v>
      </c>
      <c r="I299" s="26">
        <f t="shared" si="29"/>
        <v>17976.606710372493</v>
      </c>
      <c r="J299" s="26">
        <f t="shared" si="28"/>
        <v>2644325</v>
      </c>
      <c r="K299" s="2">
        <f t="shared" si="24"/>
        <v>2030567.534083249</v>
      </c>
    </row>
    <row r="300" spans="5:11" x14ac:dyDescent="0.25">
      <c r="E300">
        <v>0.29399999999999998</v>
      </c>
      <c r="F300" s="2">
        <f t="shared" si="25"/>
        <v>14702.415917607284</v>
      </c>
      <c r="G300" s="2">
        <f t="shared" si="26"/>
        <v>5292869.7303386228</v>
      </c>
      <c r="H300" s="26">
        <f t="shared" si="27"/>
        <v>4692869.7303386228</v>
      </c>
      <c r="I300" s="26">
        <f t="shared" si="29"/>
        <v>17977.196255373769</v>
      </c>
      <c r="J300" s="26">
        <f t="shared" si="28"/>
        <v>2653350</v>
      </c>
      <c r="K300" s="2">
        <f t="shared" si="24"/>
        <v>2039519.7303386228</v>
      </c>
    </row>
    <row r="301" spans="5:11" x14ac:dyDescent="0.25">
      <c r="E301">
        <v>0.29499999999999998</v>
      </c>
      <c r="F301" s="2">
        <f t="shared" si="25"/>
        <v>14752.354170972872</v>
      </c>
      <c r="G301" s="2">
        <f t="shared" si="26"/>
        <v>5310847.5015502339</v>
      </c>
      <c r="H301" s="26">
        <f t="shared" si="27"/>
        <v>4710847.5015502339</v>
      </c>
      <c r="I301" s="26">
        <f t="shared" si="29"/>
        <v>17977.771211611107</v>
      </c>
      <c r="J301" s="26">
        <f t="shared" si="28"/>
        <v>2662375</v>
      </c>
      <c r="K301" s="2">
        <f t="shared" si="24"/>
        <v>2048472.5015502339</v>
      </c>
    </row>
    <row r="302" spans="5:11" x14ac:dyDescent="0.25">
      <c r="E302">
        <v>0.29599999999999999</v>
      </c>
      <c r="F302" s="2">
        <f t="shared" si="25"/>
        <v>14802.293981892208</v>
      </c>
      <c r="G302" s="2">
        <f t="shared" si="26"/>
        <v>5328825.8334811945</v>
      </c>
      <c r="H302" s="26">
        <f t="shared" si="27"/>
        <v>4728825.8334811945</v>
      </c>
      <c r="I302" s="26">
        <f t="shared" si="29"/>
        <v>17978.331930960529</v>
      </c>
      <c r="J302" s="26">
        <f t="shared" si="28"/>
        <v>2671400</v>
      </c>
      <c r="K302" s="2">
        <f t="shared" si="24"/>
        <v>2057425.8334811945</v>
      </c>
    </row>
    <row r="303" spans="5:11" x14ac:dyDescent="0.25">
      <c r="E303">
        <v>0.29699999999999999</v>
      </c>
      <c r="F303" s="2">
        <f t="shared" si="25"/>
        <v>14852.235311773067</v>
      </c>
      <c r="G303" s="2">
        <f t="shared" si="26"/>
        <v>5346804.7122383043</v>
      </c>
      <c r="H303" s="26">
        <f t="shared" si="27"/>
        <v>4746804.7122383043</v>
      </c>
      <c r="I303" s="26">
        <f t="shared" si="29"/>
        <v>17978.878757109866</v>
      </c>
      <c r="J303" s="26">
        <f t="shared" si="28"/>
        <v>2680425</v>
      </c>
      <c r="K303" s="2">
        <f t="shared" si="24"/>
        <v>2066379.7122383043</v>
      </c>
    </row>
    <row r="304" spans="5:11" x14ac:dyDescent="0.25">
      <c r="E304">
        <v>0.29799999999999999</v>
      </c>
      <c r="F304" s="2">
        <f t="shared" si="25"/>
        <v>14902.178122955724</v>
      </c>
      <c r="G304" s="2">
        <f t="shared" si="26"/>
        <v>5364784.1242640605</v>
      </c>
      <c r="H304" s="26">
        <f t="shared" si="27"/>
        <v>4764784.1242640605</v>
      </c>
      <c r="I304" s="26">
        <f t="shared" si="29"/>
        <v>17979.412025756203</v>
      </c>
      <c r="J304" s="26">
        <f t="shared" si="28"/>
        <v>2689450</v>
      </c>
      <c r="K304" s="2">
        <f t="shared" si="24"/>
        <v>2075334.1242640605</v>
      </c>
    </row>
    <row r="305" spans="5:11" x14ac:dyDescent="0.25">
      <c r="E305">
        <v>0.29899999999999999</v>
      </c>
      <c r="F305" s="2">
        <f t="shared" si="25"/>
        <v>14952.122378691238</v>
      </c>
      <c r="G305" s="2">
        <f t="shared" si="26"/>
        <v>5382764.0563288452</v>
      </c>
      <c r="H305" s="26">
        <f t="shared" si="27"/>
        <v>4782764.0563288452</v>
      </c>
      <c r="I305" s="26">
        <f t="shared" si="29"/>
        <v>17979.932064784691</v>
      </c>
      <c r="J305" s="26">
        <f t="shared" si="28"/>
        <v>2698475</v>
      </c>
      <c r="K305" s="2">
        <f t="shared" si="24"/>
        <v>2084289.0563288452</v>
      </c>
    </row>
    <row r="306" spans="5:11" x14ac:dyDescent="0.25">
      <c r="E306">
        <v>0.3</v>
      </c>
      <c r="F306" s="2">
        <f t="shared" si="25"/>
        <v>15002.068043120198</v>
      </c>
      <c r="G306" s="2">
        <f t="shared" si="26"/>
        <v>5400744.4955232712</v>
      </c>
      <c r="H306" s="26">
        <f t="shared" si="27"/>
        <v>4800744.4955232712</v>
      </c>
      <c r="I306" s="26">
        <f t="shared" si="29"/>
        <v>17980.439194425941</v>
      </c>
      <c r="J306" s="26">
        <f t="shared" si="28"/>
        <v>2707500</v>
      </c>
      <c r="K306" s="2">
        <f t="shared" si="24"/>
        <v>2093244.4955232712</v>
      </c>
    </row>
    <row r="307" spans="5:11" x14ac:dyDescent="0.25">
      <c r="E307">
        <v>0.30099999999999999</v>
      </c>
      <c r="F307" s="2">
        <f t="shared" si="25"/>
        <v>15052.015081251968</v>
      </c>
      <c r="G307" s="2">
        <f t="shared" si="26"/>
        <v>5418725.4292507088</v>
      </c>
      <c r="H307" s="26">
        <f t="shared" si="27"/>
        <v>4818725.4292507088</v>
      </c>
      <c r="I307" s="26">
        <f t="shared" si="29"/>
        <v>17980.93372743763</v>
      </c>
      <c r="J307" s="26">
        <f t="shared" si="28"/>
        <v>2716525</v>
      </c>
      <c r="K307" s="2">
        <f t="shared" si="24"/>
        <v>2102200.4292507088</v>
      </c>
    </row>
    <row r="308" spans="5:11" x14ac:dyDescent="0.25">
      <c r="E308">
        <v>0.30199999999999999</v>
      </c>
      <c r="F308" s="2">
        <f t="shared" si="25"/>
        <v>15101.963458944361</v>
      </c>
      <c r="G308" s="2">
        <f t="shared" si="26"/>
        <v>5436706.8452199697</v>
      </c>
      <c r="H308" s="26">
        <f t="shared" si="27"/>
        <v>4836706.8452199697</v>
      </c>
      <c r="I308" s="26">
        <f t="shared" si="29"/>
        <v>17981.415969260968</v>
      </c>
      <c r="J308" s="26">
        <f t="shared" si="28"/>
        <v>2725550</v>
      </c>
      <c r="K308" s="2">
        <f t="shared" si="24"/>
        <v>2111156.8452199697</v>
      </c>
    </row>
    <row r="309" spans="5:11" x14ac:dyDescent="0.25">
      <c r="E309">
        <v>0.30299999999999999</v>
      </c>
      <c r="F309" s="2">
        <f t="shared" si="25"/>
        <v>15151.913142883774</v>
      </c>
      <c r="G309" s="2">
        <f t="shared" si="26"/>
        <v>5454688.7314381581</v>
      </c>
      <c r="H309" s="26">
        <f t="shared" si="27"/>
        <v>4854688.7314381581</v>
      </c>
      <c r="I309" s="26">
        <f t="shared" si="29"/>
        <v>17981.886218188331</v>
      </c>
      <c r="J309" s="26">
        <f t="shared" si="28"/>
        <v>2734575</v>
      </c>
      <c r="K309" s="2">
        <f t="shared" si="24"/>
        <v>2120113.7314381581</v>
      </c>
    </row>
    <row r="310" spans="5:11" x14ac:dyDescent="0.25">
      <c r="E310">
        <v>0.30399999999999999</v>
      </c>
      <c r="F310" s="2">
        <f t="shared" si="25"/>
        <v>15201.864100565779</v>
      </c>
      <c r="G310" s="2">
        <f t="shared" si="26"/>
        <v>5472671.0762036806</v>
      </c>
      <c r="H310" s="26">
        <f t="shared" si="27"/>
        <v>4872671.0762036806</v>
      </c>
      <c r="I310" s="26">
        <f t="shared" si="29"/>
        <v>17982.344765522517</v>
      </c>
      <c r="J310" s="26">
        <f t="shared" si="28"/>
        <v>2743600</v>
      </c>
      <c r="K310" s="2">
        <f t="shared" si="24"/>
        <v>2129071.0762036806</v>
      </c>
    </row>
    <row r="311" spans="5:11" x14ac:dyDescent="0.25">
      <c r="E311">
        <v>0.30499999999999999</v>
      </c>
      <c r="F311" s="2">
        <f t="shared" si="25"/>
        <v>15251.816300276114</v>
      </c>
      <c r="G311" s="2">
        <f t="shared" si="26"/>
        <v>5490653.8680994008</v>
      </c>
      <c r="H311" s="26">
        <f t="shared" si="27"/>
        <v>4890653.8680994008</v>
      </c>
      <c r="I311" s="26">
        <f t="shared" si="29"/>
        <v>17982.791895720176</v>
      </c>
      <c r="J311" s="26">
        <f t="shared" si="28"/>
        <v>2752625</v>
      </c>
      <c r="K311" s="2">
        <f t="shared" si="24"/>
        <v>2138028.8680994008</v>
      </c>
    </row>
    <row r="312" spans="5:11" x14ac:dyDescent="0.25">
      <c r="E312">
        <v>0.30599999999999999</v>
      </c>
      <c r="F312" s="2">
        <f t="shared" si="25"/>
        <v>15301.769711072124</v>
      </c>
      <c r="G312" s="2">
        <f t="shared" si="26"/>
        <v>5508637.0959859649</v>
      </c>
      <c r="H312" s="26">
        <f t="shared" si="27"/>
        <v>4908637.0959859649</v>
      </c>
      <c r="I312" s="26">
        <f t="shared" si="29"/>
        <v>17983.227886564098</v>
      </c>
      <c r="J312" s="26">
        <f t="shared" si="28"/>
        <v>2761650</v>
      </c>
      <c r="K312" s="2">
        <f t="shared" si="24"/>
        <v>2146987.0959859649</v>
      </c>
    </row>
    <row r="313" spans="5:11" x14ac:dyDescent="0.25">
      <c r="E313">
        <v>0.307</v>
      </c>
      <c r="F313" s="2">
        <f t="shared" si="25"/>
        <v>15351.724302764605</v>
      </c>
      <c r="G313" s="2">
        <f t="shared" si="26"/>
        <v>5526620.7489952575</v>
      </c>
      <c r="H313" s="26">
        <f t="shared" si="27"/>
        <v>4926620.7489952575</v>
      </c>
      <c r="I313" s="26">
        <f t="shared" si="29"/>
        <v>17983.65300929267</v>
      </c>
      <c r="J313" s="26">
        <f t="shared" si="28"/>
        <v>2770675</v>
      </c>
      <c r="K313" s="2">
        <f t="shared" si="24"/>
        <v>2155945.7489952575</v>
      </c>
    </row>
    <row r="314" spans="5:11" x14ac:dyDescent="0.25">
      <c r="E314">
        <v>0.308</v>
      </c>
      <c r="F314" s="2">
        <f t="shared" si="25"/>
        <v>15401.680045900042</v>
      </c>
      <c r="G314" s="2">
        <f t="shared" si="26"/>
        <v>5544604.8165240148</v>
      </c>
      <c r="H314" s="26">
        <f t="shared" si="27"/>
        <v>4944604.8165240148</v>
      </c>
      <c r="I314" s="26">
        <f t="shared" si="29"/>
        <v>17984.067528757267</v>
      </c>
      <c r="J314" s="26">
        <f t="shared" si="28"/>
        <v>2779700</v>
      </c>
      <c r="K314" s="2">
        <f t="shared" si="24"/>
        <v>2164904.8165240148</v>
      </c>
    </row>
    <row r="315" spans="5:11" x14ac:dyDescent="0.25">
      <c r="E315">
        <v>0.309</v>
      </c>
      <c r="F315" s="2">
        <f t="shared" si="25"/>
        <v>15451.636911743273</v>
      </c>
      <c r="G315" s="2">
        <f t="shared" si="26"/>
        <v>5562589.2882275786</v>
      </c>
      <c r="H315" s="26">
        <f t="shared" si="27"/>
        <v>4962589.2882275786</v>
      </c>
      <c r="I315" s="26">
        <f t="shared" si="29"/>
        <v>17984.471703563817</v>
      </c>
      <c r="J315" s="26">
        <f t="shared" si="28"/>
        <v>2788725</v>
      </c>
      <c r="K315" s="2">
        <f t="shared" si="24"/>
        <v>2173864.2882275786</v>
      </c>
    </row>
    <row r="316" spans="5:11" x14ac:dyDescent="0.25">
      <c r="E316">
        <v>0.31</v>
      </c>
      <c r="F316" s="2">
        <f t="shared" si="25"/>
        <v>15501.59487226053</v>
      </c>
      <c r="G316" s="2">
        <f t="shared" si="26"/>
        <v>5580574.1540137911</v>
      </c>
      <c r="H316" s="26">
        <f t="shared" si="27"/>
        <v>4980574.1540137911</v>
      </c>
      <c r="I316" s="26">
        <f t="shared" si="29"/>
        <v>17984.865786212496</v>
      </c>
      <c r="J316" s="26">
        <f t="shared" si="28"/>
        <v>2797750</v>
      </c>
      <c r="K316" s="2">
        <f t="shared" si="24"/>
        <v>2182824.1540137911</v>
      </c>
    </row>
    <row r="317" spans="5:11" x14ac:dyDescent="0.25">
      <c r="E317">
        <v>0.311</v>
      </c>
      <c r="F317" s="2">
        <f t="shared" si="25"/>
        <v>15551.553900102837</v>
      </c>
      <c r="G317" s="2">
        <f t="shared" si="26"/>
        <v>5598559.4040370211</v>
      </c>
      <c r="H317" s="26">
        <f t="shared" si="27"/>
        <v>4998559.4040370211</v>
      </c>
      <c r="I317" s="26">
        <f t="shared" si="29"/>
        <v>17985.250023229979</v>
      </c>
      <c r="J317" s="26">
        <f t="shared" si="28"/>
        <v>2806775</v>
      </c>
      <c r="K317" s="2">
        <f t="shared" si="24"/>
        <v>2191784.4040370211</v>
      </c>
    </row>
    <row r="318" spans="5:11" x14ac:dyDescent="0.25">
      <c r="E318">
        <v>0.312</v>
      </c>
      <c r="F318" s="2">
        <f t="shared" si="25"/>
        <v>15601.513968589814</v>
      </c>
      <c r="G318" s="2">
        <f t="shared" si="26"/>
        <v>5616545.028692333</v>
      </c>
      <c r="H318" s="26">
        <f t="shared" si="27"/>
        <v>5016545.028692333</v>
      </c>
      <c r="I318" s="26">
        <f t="shared" si="29"/>
        <v>17985.624655311927</v>
      </c>
      <c r="J318" s="26">
        <f t="shared" si="28"/>
        <v>2815800</v>
      </c>
      <c r="K318" s="2">
        <f t="shared" si="24"/>
        <v>2200745.028692333</v>
      </c>
    </row>
    <row r="319" spans="5:11" x14ac:dyDescent="0.25">
      <c r="E319">
        <v>0.313</v>
      </c>
      <c r="F319" s="2">
        <f t="shared" si="25"/>
        <v>15651.475051693837</v>
      </c>
      <c r="G319" s="2">
        <f t="shared" si="26"/>
        <v>5634531.0186097808</v>
      </c>
      <c r="H319" s="26">
        <f t="shared" si="27"/>
        <v>5034531.0186097808</v>
      </c>
      <c r="I319" s="26">
        <f t="shared" si="29"/>
        <v>17985.989917447791</v>
      </c>
      <c r="J319" s="26">
        <f t="shared" si="28"/>
        <v>2824825</v>
      </c>
      <c r="K319" s="2">
        <f t="shared" si="24"/>
        <v>2209706.0186097808</v>
      </c>
    </row>
    <row r="320" spans="5:11" x14ac:dyDescent="0.25">
      <c r="E320">
        <v>0.314</v>
      </c>
      <c r="F320" s="2">
        <f t="shared" si="25"/>
        <v>15701.437124024553</v>
      </c>
      <c r="G320" s="2">
        <f t="shared" si="26"/>
        <v>5652517.3646488395</v>
      </c>
      <c r="H320" s="26">
        <f t="shared" si="27"/>
        <v>5052517.3646488395</v>
      </c>
      <c r="I320" s="26">
        <f t="shared" si="29"/>
        <v>17986.346039058641</v>
      </c>
      <c r="J320" s="26">
        <f t="shared" si="28"/>
        <v>2833850</v>
      </c>
      <c r="K320" s="2">
        <f t="shared" si="24"/>
        <v>2218667.3646488395</v>
      </c>
    </row>
    <row r="321" spans="5:11" x14ac:dyDescent="0.25">
      <c r="E321">
        <v>0.315</v>
      </c>
      <c r="F321" s="2">
        <f t="shared" si="25"/>
        <v>15751.400160813741</v>
      </c>
      <c r="G321" s="2">
        <f t="shared" si="26"/>
        <v>5670504.0578929465</v>
      </c>
      <c r="H321" s="26">
        <f t="shared" si="27"/>
        <v>5070504.0578929465</v>
      </c>
      <c r="I321" s="26">
        <f t="shared" si="29"/>
        <v>17986.693244107068</v>
      </c>
      <c r="J321" s="26">
        <f t="shared" si="28"/>
        <v>2842875</v>
      </c>
      <c r="K321" s="2">
        <f t="shared" si="24"/>
        <v>2227629.0578929465</v>
      </c>
    </row>
    <row r="322" spans="5:11" x14ac:dyDescent="0.25">
      <c r="E322">
        <v>0.316</v>
      </c>
      <c r="F322" s="2">
        <f t="shared" si="25"/>
        <v>15801.36413790052</v>
      </c>
      <c r="G322" s="2">
        <f t="shared" si="26"/>
        <v>5688491.0896441871</v>
      </c>
      <c r="H322" s="26">
        <f t="shared" si="27"/>
        <v>5088491.0896441871</v>
      </c>
      <c r="I322" s="26">
        <f t="shared" si="29"/>
        <v>17987.031751240604</v>
      </c>
      <c r="J322" s="26">
        <f t="shared" si="28"/>
        <v>2851900</v>
      </c>
      <c r="K322" s="2">
        <f t="shared" si="24"/>
        <v>2236591.0896441871</v>
      </c>
    </row>
    <row r="323" spans="5:11" x14ac:dyDescent="0.25">
      <c r="E323">
        <v>0.317</v>
      </c>
      <c r="F323" s="2">
        <f t="shared" si="25"/>
        <v>15851.329031716907</v>
      </c>
      <c r="G323" s="2">
        <f t="shared" si="26"/>
        <v>5706478.451418086</v>
      </c>
      <c r="H323" s="26">
        <f t="shared" si="27"/>
        <v>5106478.451418086</v>
      </c>
      <c r="I323" s="26">
        <f t="shared" si="29"/>
        <v>17987.361773898825</v>
      </c>
      <c r="J323" s="26">
        <f t="shared" si="28"/>
        <v>2860925</v>
      </c>
      <c r="K323" s="2">
        <f t="shared" si="24"/>
        <v>2245553.451418086</v>
      </c>
    </row>
    <row r="324" spans="5:11" x14ac:dyDescent="0.25">
      <c r="E324">
        <v>0.318</v>
      </c>
      <c r="F324" s="2">
        <f t="shared" si="25"/>
        <v>15901.294819273668</v>
      </c>
      <c r="G324" s="2">
        <f t="shared" si="26"/>
        <v>5724466.1349385204</v>
      </c>
      <c r="H324" s="26">
        <f t="shared" si="27"/>
        <v>5124466.1349385204</v>
      </c>
      <c r="I324" s="26">
        <f t="shared" si="29"/>
        <v>17987.683520434424</v>
      </c>
      <c r="J324" s="26">
        <f t="shared" si="28"/>
        <v>2869950</v>
      </c>
      <c r="K324" s="2">
        <f t="shared" si="24"/>
        <v>2254516.1349385204</v>
      </c>
    </row>
    <row r="325" spans="5:11" x14ac:dyDescent="0.25">
      <c r="E325">
        <v>0.31900000000000001</v>
      </c>
      <c r="F325" s="2">
        <f t="shared" si="25"/>
        <v>15951.261478146549</v>
      </c>
      <c r="G325" s="2">
        <f t="shared" si="26"/>
        <v>5742454.1321327575</v>
      </c>
      <c r="H325" s="26">
        <f t="shared" si="27"/>
        <v>5142454.1321327575</v>
      </c>
      <c r="I325" s="26">
        <f t="shared" si="29"/>
        <v>17987.997194237076</v>
      </c>
      <c r="J325" s="26">
        <f t="shared" si="28"/>
        <v>2878975</v>
      </c>
      <c r="K325" s="2">
        <f t="shared" si="24"/>
        <v>2263479.1321327575</v>
      </c>
    </row>
    <row r="326" spans="5:11" x14ac:dyDescent="0.25">
      <c r="E326">
        <v>0.32</v>
      </c>
      <c r="F326" s="2">
        <f t="shared" si="25"/>
        <v>16001.228986462747</v>
      </c>
      <c r="G326" s="2">
        <f t="shared" si="26"/>
        <v>5760442.4351265887</v>
      </c>
      <c r="H326" s="26">
        <f t="shared" si="27"/>
        <v>5160442.4351265887</v>
      </c>
      <c r="I326" s="26">
        <f t="shared" si="29"/>
        <v>17988.302993831225</v>
      </c>
      <c r="J326" s="26">
        <f t="shared" si="28"/>
        <v>2888000</v>
      </c>
      <c r="K326" s="2">
        <f t="shared" ref="K326:K389" si="30">H326-J326</f>
        <v>2272442.4351265887</v>
      </c>
    </row>
    <row r="327" spans="5:11" x14ac:dyDescent="0.25">
      <c r="E327">
        <v>0.32100000000000001</v>
      </c>
      <c r="F327" s="2">
        <f t="shared" ref="F327:F390" si="31">PMT(E327/12,$C$7,-$C$6,0,0)</f>
        <v>16051.19732288776</v>
      </c>
      <c r="G327" s="2">
        <f t="shared" ref="G327:G390" si="32">360*F327</f>
        <v>5778431.0362395933</v>
      </c>
      <c r="H327" s="26">
        <f t="shared" ref="H327:H390" si="33">360*F327-$C$6</f>
        <v>5178431.0362395933</v>
      </c>
      <c r="I327" s="26">
        <f t="shared" si="29"/>
        <v>17988.60111300461</v>
      </c>
      <c r="J327" s="26">
        <f t="shared" ref="J327:J390" si="34">$C$6*E327/12*($C$7+1)/2</f>
        <v>2897025</v>
      </c>
      <c r="K327" s="2">
        <f t="shared" si="30"/>
        <v>2281406.0362395933</v>
      </c>
    </row>
    <row r="328" spans="5:11" x14ac:dyDescent="0.25">
      <c r="E328">
        <v>0.32200000000000001</v>
      </c>
      <c r="F328" s="2">
        <f t="shared" si="31"/>
        <v>16101.166466612491</v>
      </c>
      <c r="G328" s="2">
        <f t="shared" si="32"/>
        <v>5796419.9279804965</v>
      </c>
      <c r="H328" s="26">
        <f t="shared" si="33"/>
        <v>5196419.9279804965</v>
      </c>
      <c r="I328" s="26">
        <f t="shared" si="29"/>
        <v>17988.891740903258</v>
      </c>
      <c r="J328" s="26">
        <f t="shared" si="34"/>
        <v>2906050</v>
      </c>
      <c r="K328" s="2">
        <f t="shared" si="30"/>
        <v>2290369.9279804965</v>
      </c>
    </row>
    <row r="329" spans="5:11" x14ac:dyDescent="0.25">
      <c r="E329">
        <v>0.32300000000000001</v>
      </c>
      <c r="F329" s="2">
        <f t="shared" si="31"/>
        <v>16151.136397340675</v>
      </c>
      <c r="G329" s="2">
        <f t="shared" si="32"/>
        <v>5814409.1030426426</v>
      </c>
      <c r="H329" s="26">
        <f t="shared" si="33"/>
        <v>5214409.1030426426</v>
      </c>
      <c r="I329" s="26">
        <f t="shared" ref="I329:I392" si="35">H329-H328</f>
        <v>17989.175062146038</v>
      </c>
      <c r="J329" s="26">
        <f t="shared" si="34"/>
        <v>2915075</v>
      </c>
      <c r="K329" s="2">
        <f t="shared" si="30"/>
        <v>2299334.1030426426</v>
      </c>
    </row>
    <row r="330" spans="5:11" x14ac:dyDescent="0.25">
      <c r="E330">
        <v>0.32400000000000001</v>
      </c>
      <c r="F330" s="2">
        <f t="shared" si="31"/>
        <v>16201.107095276571</v>
      </c>
      <c r="G330" s="2">
        <f t="shared" si="32"/>
        <v>5832398.554299566</v>
      </c>
      <c r="H330" s="26">
        <f t="shared" si="33"/>
        <v>5232398.554299566</v>
      </c>
      <c r="I330" s="26">
        <f t="shared" si="35"/>
        <v>17989.451256923378</v>
      </c>
      <c r="J330" s="26">
        <f t="shared" si="34"/>
        <v>2924100</v>
      </c>
      <c r="K330" s="2">
        <f t="shared" si="30"/>
        <v>2308298.554299566</v>
      </c>
    </row>
    <row r="331" spans="5:11" x14ac:dyDescent="0.25">
      <c r="E331">
        <v>0.32500000000000001</v>
      </c>
      <c r="F331" s="2">
        <f t="shared" si="31"/>
        <v>16251.078541112985</v>
      </c>
      <c r="G331" s="2">
        <f t="shared" si="32"/>
        <v>5850388.274800675</v>
      </c>
      <c r="H331" s="26">
        <f t="shared" si="33"/>
        <v>5250388.274800675</v>
      </c>
      <c r="I331" s="26">
        <f t="shared" si="35"/>
        <v>17989.720501109026</v>
      </c>
      <c r="J331" s="26">
        <f t="shared" si="34"/>
        <v>2933125</v>
      </c>
      <c r="K331" s="2">
        <f t="shared" si="30"/>
        <v>2317263.274800675</v>
      </c>
    </row>
    <row r="332" spans="5:11" x14ac:dyDescent="0.25">
      <c r="E332">
        <v>0.32600000000000001</v>
      </c>
      <c r="F332" s="2">
        <f t="shared" si="31"/>
        <v>16301.050716019487</v>
      </c>
      <c r="G332" s="2">
        <f t="shared" si="32"/>
        <v>5868378.2577670151</v>
      </c>
      <c r="H332" s="26">
        <f t="shared" si="33"/>
        <v>5268378.2577670151</v>
      </c>
      <c r="I332" s="26">
        <f t="shared" si="35"/>
        <v>17989.982966340147</v>
      </c>
      <c r="J332" s="26">
        <f t="shared" si="34"/>
        <v>2942150</v>
      </c>
      <c r="K332" s="2">
        <f t="shared" si="30"/>
        <v>2326228.2577670151</v>
      </c>
    </row>
    <row r="333" spans="5:11" x14ac:dyDescent="0.25">
      <c r="E333">
        <v>0.32700000000000001</v>
      </c>
      <c r="F333" s="2">
        <f t="shared" si="31"/>
        <v>16351.023601630975</v>
      </c>
      <c r="G333" s="2">
        <f t="shared" si="32"/>
        <v>5886368.4965871507</v>
      </c>
      <c r="H333" s="26">
        <f t="shared" si="33"/>
        <v>5286368.4965871507</v>
      </c>
      <c r="I333" s="26">
        <f t="shared" si="35"/>
        <v>17990.238820135593</v>
      </c>
      <c r="J333" s="26">
        <f t="shared" si="34"/>
        <v>2951175</v>
      </c>
      <c r="K333" s="2">
        <f t="shared" si="30"/>
        <v>2335193.4965871507</v>
      </c>
    </row>
    <row r="334" spans="5:11" x14ac:dyDescent="0.25">
      <c r="E334">
        <v>0.32800000000000001</v>
      </c>
      <c r="F334" s="2">
        <f t="shared" si="31"/>
        <v>16400.99718003648</v>
      </c>
      <c r="G334" s="2">
        <f t="shared" si="32"/>
        <v>5904358.9848131333</v>
      </c>
      <c r="H334" s="26">
        <f t="shared" si="33"/>
        <v>5304358.9848131333</v>
      </c>
      <c r="I334" s="26">
        <f t="shared" si="35"/>
        <v>17990.488225982524</v>
      </c>
      <c r="J334" s="26">
        <f t="shared" si="34"/>
        <v>2960200</v>
      </c>
      <c r="K334" s="2">
        <f t="shared" si="30"/>
        <v>2344158.9848131333</v>
      </c>
    </row>
    <row r="335" spans="5:11" x14ac:dyDescent="0.25">
      <c r="E335">
        <v>0.32900000000000001</v>
      </c>
      <c r="F335" s="2">
        <f t="shared" si="31"/>
        <v>16450.971433768216</v>
      </c>
      <c r="G335" s="2">
        <f t="shared" si="32"/>
        <v>5922349.7161565581</v>
      </c>
      <c r="H335" s="26">
        <f t="shared" si="33"/>
        <v>5322349.7161565581</v>
      </c>
      <c r="I335" s="26">
        <f t="shared" si="35"/>
        <v>17990.731343424879</v>
      </c>
      <c r="J335" s="26">
        <f t="shared" si="34"/>
        <v>2969225</v>
      </c>
      <c r="K335" s="2">
        <f t="shared" si="30"/>
        <v>2353124.7161565581</v>
      </c>
    </row>
    <row r="336" spans="5:11" x14ac:dyDescent="0.25">
      <c r="E336">
        <v>0.33</v>
      </c>
      <c r="F336" s="2">
        <f t="shared" si="31"/>
        <v>16500.946345790893</v>
      </c>
      <c r="G336" s="2">
        <f t="shared" si="32"/>
        <v>5940340.6844847212</v>
      </c>
      <c r="H336" s="26">
        <f t="shared" si="33"/>
        <v>5340340.6844847212</v>
      </c>
      <c r="I336" s="26">
        <f t="shared" si="35"/>
        <v>17990.968328163028</v>
      </c>
      <c r="J336" s="26">
        <f t="shared" si="34"/>
        <v>2978250</v>
      </c>
      <c r="K336" s="2">
        <f t="shared" si="30"/>
        <v>2362090.6844847212</v>
      </c>
    </row>
    <row r="337" spans="5:11" x14ac:dyDescent="0.25">
      <c r="E337">
        <v>0.33100000000000002</v>
      </c>
      <c r="F337" s="2">
        <f t="shared" si="31"/>
        <v>16550.921899491284</v>
      </c>
      <c r="G337" s="2">
        <f t="shared" si="32"/>
        <v>5958331.8838168625</v>
      </c>
      <c r="H337" s="26">
        <f t="shared" si="33"/>
        <v>5358331.8838168625</v>
      </c>
      <c r="I337" s="26">
        <f t="shared" si="35"/>
        <v>17991.199332141317</v>
      </c>
      <c r="J337" s="26">
        <f t="shared" si="34"/>
        <v>2987275</v>
      </c>
      <c r="K337" s="2">
        <f t="shared" si="30"/>
        <v>2371056.8838168625</v>
      </c>
    </row>
    <row r="338" spans="5:11" x14ac:dyDescent="0.25">
      <c r="E338">
        <v>0.33200000000000002</v>
      </c>
      <c r="F338" s="2">
        <f t="shared" si="31"/>
        <v>16600.898078668029</v>
      </c>
      <c r="G338" s="2">
        <f t="shared" si="32"/>
        <v>5976323.3083204906</v>
      </c>
      <c r="H338" s="26">
        <f t="shared" si="33"/>
        <v>5376323.3083204906</v>
      </c>
      <c r="I338" s="26">
        <f t="shared" si="35"/>
        <v>17991.424503628165</v>
      </c>
      <c r="J338" s="26">
        <f t="shared" si="34"/>
        <v>2996300</v>
      </c>
      <c r="K338" s="2">
        <f t="shared" si="30"/>
        <v>2380023.3083204906</v>
      </c>
    </row>
    <row r="339" spans="5:11" x14ac:dyDescent="0.25">
      <c r="E339">
        <v>0.33300000000000002</v>
      </c>
      <c r="F339" s="2">
        <f t="shared" si="31"/>
        <v>16650.874867521678</v>
      </c>
      <c r="G339" s="2">
        <f t="shared" si="32"/>
        <v>5994314.9523078036</v>
      </c>
      <c r="H339" s="26">
        <f t="shared" si="33"/>
        <v>5394314.9523078036</v>
      </c>
      <c r="I339" s="26">
        <f t="shared" si="35"/>
        <v>17991.643987312913</v>
      </c>
      <c r="J339" s="26">
        <f t="shared" si="34"/>
        <v>3005325</v>
      </c>
      <c r="K339" s="2">
        <f t="shared" si="30"/>
        <v>2388989.9523078036</v>
      </c>
    </row>
    <row r="340" spans="5:11" x14ac:dyDescent="0.25">
      <c r="E340">
        <v>0.33400000000000002</v>
      </c>
      <c r="F340" s="2">
        <f t="shared" si="31"/>
        <v>16700.852250644959</v>
      </c>
      <c r="G340" s="2">
        <f t="shared" si="32"/>
        <v>6012306.8102321848</v>
      </c>
      <c r="H340" s="26">
        <f t="shared" si="33"/>
        <v>5412306.8102321848</v>
      </c>
      <c r="I340" s="26">
        <f t="shared" si="35"/>
        <v>17991.857924381271</v>
      </c>
      <c r="J340" s="26">
        <f t="shared" si="34"/>
        <v>3014350</v>
      </c>
      <c r="K340" s="2">
        <f t="shared" si="30"/>
        <v>2397956.8102321848</v>
      </c>
    </row>
    <row r="341" spans="5:11" x14ac:dyDescent="0.25">
      <c r="E341">
        <v>0.33500000000000002</v>
      </c>
      <c r="F341" s="2">
        <f t="shared" si="31"/>
        <v>16750.83021301328</v>
      </c>
      <c r="G341" s="2">
        <f t="shared" si="32"/>
        <v>6030298.8766847812</v>
      </c>
      <c r="H341" s="26">
        <f t="shared" si="33"/>
        <v>5430298.8766847812</v>
      </c>
      <c r="I341" s="26">
        <f t="shared" si="35"/>
        <v>17992.066452596337</v>
      </c>
      <c r="J341" s="26">
        <f t="shared" si="34"/>
        <v>3023375</v>
      </c>
      <c r="K341" s="2">
        <f t="shared" si="30"/>
        <v>2406923.8766847812</v>
      </c>
    </row>
    <row r="342" spans="5:11" x14ac:dyDescent="0.25">
      <c r="E342">
        <v>0.33600000000000002</v>
      </c>
      <c r="F342" s="2">
        <f t="shared" si="31"/>
        <v>16800.808739975455</v>
      </c>
      <c r="G342" s="2">
        <f t="shared" si="32"/>
        <v>6048291.1463911636</v>
      </c>
      <c r="H342" s="26">
        <f t="shared" si="33"/>
        <v>5448291.1463911636</v>
      </c>
      <c r="I342" s="26">
        <f t="shared" si="35"/>
        <v>17992.269706382416</v>
      </c>
      <c r="J342" s="26">
        <f t="shared" si="34"/>
        <v>3032400</v>
      </c>
      <c r="K342" s="2">
        <f t="shared" si="30"/>
        <v>2415891.1463911636</v>
      </c>
    </row>
    <row r="343" spans="5:11" x14ac:dyDescent="0.25">
      <c r="E343">
        <v>0.33700000000000002</v>
      </c>
      <c r="F343" s="2">
        <f t="shared" si="31"/>
        <v>16850.787817244651</v>
      </c>
      <c r="G343" s="2">
        <f t="shared" si="32"/>
        <v>6066283.6142080743</v>
      </c>
      <c r="H343" s="26">
        <f t="shared" si="33"/>
        <v>5466283.6142080743</v>
      </c>
      <c r="I343" s="26">
        <f t="shared" si="35"/>
        <v>17992.467816910706</v>
      </c>
      <c r="J343" s="26">
        <f t="shared" si="34"/>
        <v>3041425</v>
      </c>
      <c r="K343" s="2">
        <f t="shared" si="30"/>
        <v>2424858.6142080743</v>
      </c>
    </row>
    <row r="344" spans="5:11" x14ac:dyDescent="0.25">
      <c r="E344">
        <v>0.33800000000000002</v>
      </c>
      <c r="F344" s="2">
        <f t="shared" si="31"/>
        <v>16900.767430889515</v>
      </c>
      <c r="G344" s="2">
        <f t="shared" si="32"/>
        <v>6084276.2751202257</v>
      </c>
      <c r="H344" s="26">
        <f t="shared" si="33"/>
        <v>5484276.2751202257</v>
      </c>
      <c r="I344" s="26">
        <f t="shared" si="35"/>
        <v>17992.660912151448</v>
      </c>
      <c r="J344" s="26">
        <f t="shared" si="34"/>
        <v>3050450</v>
      </c>
      <c r="K344" s="2">
        <f t="shared" si="30"/>
        <v>2433826.2751202257</v>
      </c>
    </row>
    <row r="345" spans="5:11" x14ac:dyDescent="0.25">
      <c r="E345">
        <v>0.33900000000000002</v>
      </c>
      <c r="F345" s="2">
        <f t="shared" si="31"/>
        <v>16950.747567325572</v>
      </c>
      <c r="G345" s="2">
        <f t="shared" si="32"/>
        <v>6102269.1242372058</v>
      </c>
      <c r="H345" s="26">
        <f t="shared" si="33"/>
        <v>5502269.1242372058</v>
      </c>
      <c r="I345" s="26">
        <f t="shared" si="35"/>
        <v>17992.849116980098</v>
      </c>
      <c r="J345" s="26">
        <f t="shared" si="34"/>
        <v>3059475</v>
      </c>
      <c r="K345" s="2">
        <f t="shared" si="30"/>
        <v>2442794.1242372058</v>
      </c>
    </row>
    <row r="346" spans="5:11" x14ac:dyDescent="0.25">
      <c r="E346">
        <v>0.34</v>
      </c>
      <c r="F346" s="2">
        <f t="shared" si="31"/>
        <v>17000.728213306749</v>
      </c>
      <c r="G346" s="2">
        <f t="shared" si="32"/>
        <v>6120262.1567904297</v>
      </c>
      <c r="H346" s="26">
        <f t="shared" si="33"/>
        <v>5520262.1567904297</v>
      </c>
      <c r="I346" s="26">
        <f t="shared" si="35"/>
        <v>17993.032553223893</v>
      </c>
      <c r="J346" s="26">
        <f t="shared" si="34"/>
        <v>3068500.0000000005</v>
      </c>
      <c r="K346" s="2">
        <f t="shared" si="30"/>
        <v>2451762.1567904293</v>
      </c>
    </row>
    <row r="347" spans="5:11" x14ac:dyDescent="0.25">
      <c r="E347">
        <v>0.34100000000000003</v>
      </c>
      <c r="F347" s="2">
        <f t="shared" si="31"/>
        <v>17050.709355917159</v>
      </c>
      <c r="G347" s="2">
        <f t="shared" si="32"/>
        <v>6138255.3681301773</v>
      </c>
      <c r="H347" s="26">
        <f t="shared" si="33"/>
        <v>5538255.3681301773</v>
      </c>
      <c r="I347" s="26">
        <f t="shared" si="35"/>
        <v>17993.211339747533</v>
      </c>
      <c r="J347" s="26">
        <f t="shared" si="34"/>
        <v>3077525.0000000005</v>
      </c>
      <c r="K347" s="2">
        <f t="shared" si="30"/>
        <v>2460730.3681301768</v>
      </c>
    </row>
    <row r="348" spans="5:11" x14ac:dyDescent="0.25">
      <c r="E348">
        <v>0.34200000000000003</v>
      </c>
      <c r="F348" s="2">
        <f t="shared" si="31"/>
        <v>17100.69098256305</v>
      </c>
      <c r="G348" s="2">
        <f t="shared" si="32"/>
        <v>6156248.7537226984</v>
      </c>
      <c r="H348" s="26">
        <f t="shared" si="33"/>
        <v>5556248.7537226984</v>
      </c>
      <c r="I348" s="26">
        <f t="shared" si="35"/>
        <v>17993.385592521168</v>
      </c>
      <c r="J348" s="26">
        <f t="shared" si="34"/>
        <v>3086550.0000000005</v>
      </c>
      <c r="K348" s="2">
        <f t="shared" si="30"/>
        <v>2469698.753722698</v>
      </c>
    </row>
    <row r="349" spans="5:11" x14ac:dyDescent="0.25">
      <c r="E349">
        <v>0.34300000000000003</v>
      </c>
      <c r="F349" s="2">
        <f t="shared" si="31"/>
        <v>17150.673080964953</v>
      </c>
      <c r="G349" s="2">
        <f t="shared" si="32"/>
        <v>6174242.3091473831</v>
      </c>
      <c r="H349" s="26">
        <f t="shared" si="33"/>
        <v>5574242.3091473831</v>
      </c>
      <c r="I349" s="26">
        <f t="shared" si="35"/>
        <v>17993.555424684659</v>
      </c>
      <c r="J349" s="26">
        <f t="shared" si="34"/>
        <v>3095575.0000000005</v>
      </c>
      <c r="K349" s="2">
        <f t="shared" si="30"/>
        <v>2478667.3091473826</v>
      </c>
    </row>
    <row r="350" spans="5:11" x14ac:dyDescent="0.25">
      <c r="E350">
        <v>0.34399999999999997</v>
      </c>
      <c r="F350" s="2">
        <f t="shared" si="31"/>
        <v>17200.655639149998</v>
      </c>
      <c r="G350" s="2">
        <f t="shared" si="32"/>
        <v>6192236.0300939996</v>
      </c>
      <c r="H350" s="26">
        <f t="shared" si="33"/>
        <v>5592236.0300939996</v>
      </c>
      <c r="I350" s="26">
        <f t="shared" si="35"/>
        <v>17993.720946616493</v>
      </c>
      <c r="J350" s="26">
        <f t="shared" si="34"/>
        <v>3104599.9999999995</v>
      </c>
      <c r="K350" s="2">
        <f t="shared" si="30"/>
        <v>2487636.030094</v>
      </c>
    </row>
    <row r="351" spans="5:11" x14ac:dyDescent="0.25">
      <c r="E351">
        <v>0.34499999999999997</v>
      </c>
      <c r="F351" s="2">
        <f t="shared" si="31"/>
        <v>17250.638645444462</v>
      </c>
      <c r="G351" s="2">
        <f t="shared" si="32"/>
        <v>6210229.912360006</v>
      </c>
      <c r="H351" s="26">
        <f t="shared" si="33"/>
        <v>5610229.912360006</v>
      </c>
      <c r="I351" s="26">
        <f t="shared" si="35"/>
        <v>17993.882266006432</v>
      </c>
      <c r="J351" s="26">
        <f t="shared" si="34"/>
        <v>3113624.9999999995</v>
      </c>
      <c r="K351" s="2">
        <f t="shared" si="30"/>
        <v>2496604.9123600065</v>
      </c>
    </row>
    <row r="352" spans="5:11" x14ac:dyDescent="0.25">
      <c r="E352">
        <v>0.34599999999999997</v>
      </c>
      <c r="F352" s="2">
        <f t="shared" si="31"/>
        <v>17300.622088466396</v>
      </c>
      <c r="G352" s="2">
        <f t="shared" si="32"/>
        <v>6228223.9518479025</v>
      </c>
      <c r="H352" s="26">
        <f t="shared" si="33"/>
        <v>5628223.9518479025</v>
      </c>
      <c r="I352" s="26">
        <f t="shared" si="35"/>
        <v>17994.039487896487</v>
      </c>
      <c r="J352" s="26">
        <f t="shared" si="34"/>
        <v>3122649.9999999995</v>
      </c>
      <c r="K352" s="2">
        <f t="shared" si="30"/>
        <v>2505573.951847903</v>
      </c>
    </row>
    <row r="353" spans="5:11" x14ac:dyDescent="0.25">
      <c r="E353">
        <v>0.34699999999999998</v>
      </c>
      <c r="F353" s="2">
        <f t="shared" si="31"/>
        <v>17350.605957118543</v>
      </c>
      <c r="G353" s="2">
        <f t="shared" si="32"/>
        <v>6246218.1445626756</v>
      </c>
      <c r="H353" s="26">
        <f t="shared" si="33"/>
        <v>5646218.1445626756</v>
      </c>
      <c r="I353" s="26">
        <f t="shared" si="35"/>
        <v>17994.192714773118</v>
      </c>
      <c r="J353" s="26">
        <f t="shared" si="34"/>
        <v>3131674.9999999995</v>
      </c>
      <c r="K353" s="2">
        <f t="shared" si="30"/>
        <v>2514543.1445626761</v>
      </c>
    </row>
    <row r="354" spans="5:11" x14ac:dyDescent="0.25">
      <c r="E354">
        <v>0.34799999999999998</v>
      </c>
      <c r="F354" s="2">
        <f t="shared" si="31"/>
        <v>17400.590240581354</v>
      </c>
      <c r="G354" s="2">
        <f t="shared" si="32"/>
        <v>6264212.4866092876</v>
      </c>
      <c r="H354" s="26">
        <f t="shared" si="33"/>
        <v>5664212.4866092876</v>
      </c>
      <c r="I354" s="26">
        <f t="shared" si="35"/>
        <v>17994.342046611942</v>
      </c>
      <c r="J354" s="26">
        <f t="shared" si="34"/>
        <v>3140700</v>
      </c>
      <c r="K354" s="2">
        <f t="shared" si="30"/>
        <v>2523512.4866092876</v>
      </c>
    </row>
    <row r="355" spans="5:11" x14ac:dyDescent="0.25">
      <c r="E355">
        <v>0.34899999999999998</v>
      </c>
      <c r="F355" s="2">
        <f t="shared" si="31"/>
        <v>17450.57492830616</v>
      </c>
      <c r="G355" s="2">
        <f t="shared" si="32"/>
        <v>6282206.9741902174</v>
      </c>
      <c r="H355" s="26">
        <f t="shared" si="33"/>
        <v>5682206.9741902174</v>
      </c>
      <c r="I355" s="26">
        <f t="shared" si="35"/>
        <v>17994.487580929883</v>
      </c>
      <c r="J355" s="26">
        <f t="shared" si="34"/>
        <v>3149725</v>
      </c>
      <c r="K355" s="2">
        <f t="shared" si="30"/>
        <v>2532481.9741902174</v>
      </c>
    </row>
    <row r="356" spans="5:11" x14ac:dyDescent="0.25">
      <c r="E356">
        <v>0.35</v>
      </c>
      <c r="F356" s="2">
        <f t="shared" si="31"/>
        <v>17500.560010008558</v>
      </c>
      <c r="G356" s="2">
        <f t="shared" si="32"/>
        <v>6300201.6036030808</v>
      </c>
      <c r="H356" s="26">
        <f t="shared" si="33"/>
        <v>5700201.6036030808</v>
      </c>
      <c r="I356" s="26">
        <f t="shared" si="35"/>
        <v>17994.629412863404</v>
      </c>
      <c r="J356" s="26">
        <f t="shared" si="34"/>
        <v>3158750</v>
      </c>
      <c r="K356" s="2">
        <f t="shared" si="30"/>
        <v>2541451.6036030808</v>
      </c>
    </row>
    <row r="357" spans="5:11" x14ac:dyDescent="0.25">
      <c r="E357">
        <v>0.35099999999999998</v>
      </c>
      <c r="F357" s="2">
        <f t="shared" si="31"/>
        <v>17550.545475661922</v>
      </c>
      <c r="G357" s="2">
        <f t="shared" si="32"/>
        <v>6318196.3712382922</v>
      </c>
      <c r="H357" s="26">
        <f t="shared" si="33"/>
        <v>5718196.3712382922</v>
      </c>
      <c r="I357" s="26">
        <f t="shared" si="35"/>
        <v>17994.767635211349</v>
      </c>
      <c r="J357" s="26">
        <f t="shared" si="34"/>
        <v>3167775</v>
      </c>
      <c r="K357" s="2">
        <f t="shared" si="30"/>
        <v>2550421.3712382922</v>
      </c>
    </row>
    <row r="358" spans="5:11" x14ac:dyDescent="0.25">
      <c r="E358">
        <v>0.35199999999999998</v>
      </c>
      <c r="F358" s="2">
        <f t="shared" si="31"/>
        <v>17600.531315491065</v>
      </c>
      <c r="G358" s="2">
        <f t="shared" si="32"/>
        <v>6336191.2735767839</v>
      </c>
      <c r="H358" s="26">
        <f t="shared" si="33"/>
        <v>5736191.2735767839</v>
      </c>
      <c r="I358" s="26">
        <f t="shared" si="35"/>
        <v>17994.902338491753</v>
      </c>
      <c r="J358" s="26">
        <f t="shared" si="34"/>
        <v>3176800</v>
      </c>
      <c r="K358" s="2">
        <f t="shared" si="30"/>
        <v>2559391.2735767839</v>
      </c>
    </row>
    <row r="359" spans="5:11" x14ac:dyDescent="0.25">
      <c r="E359">
        <v>0.35299999999999998</v>
      </c>
      <c r="F359" s="2">
        <f t="shared" si="31"/>
        <v>17650.517519966059</v>
      </c>
      <c r="G359" s="2">
        <f t="shared" si="32"/>
        <v>6354186.3071877807</v>
      </c>
      <c r="H359" s="26">
        <f t="shared" si="33"/>
        <v>5754186.3071877807</v>
      </c>
      <c r="I359" s="26">
        <f t="shared" si="35"/>
        <v>17995.03361099679</v>
      </c>
      <c r="J359" s="26">
        <f t="shared" si="34"/>
        <v>3185825</v>
      </c>
      <c r="K359" s="2">
        <f t="shared" si="30"/>
        <v>2568361.3071877807</v>
      </c>
    </row>
    <row r="360" spans="5:11" x14ac:dyDescent="0.25">
      <c r="E360">
        <v>0.35399999999999998</v>
      </c>
      <c r="F360" s="2">
        <f t="shared" si="31"/>
        <v>17700.504079796217</v>
      </c>
      <c r="G360" s="2">
        <f t="shared" si="32"/>
        <v>6372181.4687266387</v>
      </c>
      <c r="H360" s="26">
        <f t="shared" si="33"/>
        <v>5772181.4687266387</v>
      </c>
      <c r="I360" s="26">
        <f t="shared" si="35"/>
        <v>17995.161538857967</v>
      </c>
      <c r="J360" s="26">
        <f t="shared" si="34"/>
        <v>3194850</v>
      </c>
      <c r="K360" s="2">
        <f t="shared" si="30"/>
        <v>2577331.4687266387</v>
      </c>
    </row>
    <row r="361" spans="5:11" x14ac:dyDescent="0.25">
      <c r="E361">
        <v>0.35499999999999998</v>
      </c>
      <c r="F361" s="2">
        <f t="shared" si="31"/>
        <v>17750.490985924193</v>
      </c>
      <c r="G361" s="2">
        <f t="shared" si="32"/>
        <v>6390176.754932709</v>
      </c>
      <c r="H361" s="26">
        <f t="shared" si="33"/>
        <v>5790176.754932709</v>
      </c>
      <c r="I361" s="26">
        <f t="shared" si="35"/>
        <v>17995.286206070334</v>
      </c>
      <c r="J361" s="26">
        <f t="shared" si="34"/>
        <v>3203875</v>
      </c>
      <c r="K361" s="2">
        <f t="shared" si="30"/>
        <v>2586301.754932709</v>
      </c>
    </row>
    <row r="362" spans="5:11" x14ac:dyDescent="0.25">
      <c r="E362">
        <v>0.35599999999999998</v>
      </c>
      <c r="F362" s="2">
        <f t="shared" si="31"/>
        <v>17800.478229520242</v>
      </c>
      <c r="G362" s="2">
        <f t="shared" si="32"/>
        <v>6408172.1626272872</v>
      </c>
      <c r="H362" s="26">
        <f t="shared" si="33"/>
        <v>5808172.1626272872</v>
      </c>
      <c r="I362" s="26">
        <f t="shared" si="35"/>
        <v>17995.407694578171</v>
      </c>
      <c r="J362" s="26">
        <f t="shared" si="34"/>
        <v>3212900</v>
      </c>
      <c r="K362" s="2">
        <f t="shared" si="30"/>
        <v>2595272.1626272872</v>
      </c>
    </row>
    <row r="363" spans="5:11" x14ac:dyDescent="0.25">
      <c r="E363">
        <v>0.35699999999999998</v>
      </c>
      <c r="F363" s="2">
        <f t="shared" si="31"/>
        <v>17850.465801976621</v>
      </c>
      <c r="G363" s="2">
        <f t="shared" si="32"/>
        <v>6426167.6887115836</v>
      </c>
      <c r="H363" s="26">
        <f t="shared" si="33"/>
        <v>5826167.6887115836</v>
      </c>
      <c r="I363" s="26">
        <f t="shared" si="35"/>
        <v>17995.526084296405</v>
      </c>
      <c r="J363" s="26">
        <f t="shared" si="34"/>
        <v>3221925</v>
      </c>
      <c r="K363" s="2">
        <f t="shared" si="30"/>
        <v>2604242.6887115836</v>
      </c>
    </row>
    <row r="364" spans="5:11" x14ac:dyDescent="0.25">
      <c r="E364">
        <v>0.35799999999999998</v>
      </c>
      <c r="F364" s="2">
        <f t="shared" si="31"/>
        <v>17900.453694902084</v>
      </c>
      <c r="G364" s="2">
        <f t="shared" si="32"/>
        <v>6444163.3301647501</v>
      </c>
      <c r="H364" s="26">
        <f t="shared" si="33"/>
        <v>5844163.3301647501</v>
      </c>
      <c r="I364" s="26">
        <f t="shared" si="35"/>
        <v>17995.641453166492</v>
      </c>
      <c r="J364" s="26">
        <f t="shared" si="34"/>
        <v>3230950</v>
      </c>
      <c r="K364" s="2">
        <f t="shared" si="30"/>
        <v>2613213.3301647501</v>
      </c>
    </row>
    <row r="365" spans="5:11" x14ac:dyDescent="0.25">
      <c r="E365">
        <v>0.35899999999999999</v>
      </c>
      <c r="F365" s="2">
        <f t="shared" si="31"/>
        <v>17950.44190011657</v>
      </c>
      <c r="G365" s="2">
        <f t="shared" si="32"/>
        <v>6462159.0840419652</v>
      </c>
      <c r="H365" s="26">
        <f t="shared" si="33"/>
        <v>5862159.0840419652</v>
      </c>
      <c r="I365" s="26">
        <f t="shared" si="35"/>
        <v>17995.753877215087</v>
      </c>
      <c r="J365" s="26">
        <f t="shared" si="34"/>
        <v>3239975</v>
      </c>
      <c r="K365" s="2">
        <f t="shared" si="30"/>
        <v>2622184.0840419652</v>
      </c>
    </row>
    <row r="366" spans="5:11" x14ac:dyDescent="0.25">
      <c r="E366">
        <v>0.36</v>
      </c>
      <c r="F366" s="2">
        <f t="shared" si="31"/>
        <v>18000.430409645982</v>
      </c>
      <c r="G366" s="2">
        <f t="shared" si="32"/>
        <v>6480154.9474725537</v>
      </c>
      <c r="H366" s="26">
        <f t="shared" si="33"/>
        <v>5880154.9474725537</v>
      </c>
      <c r="I366" s="26">
        <f t="shared" si="35"/>
        <v>17995.863430588506</v>
      </c>
      <c r="J366" s="26">
        <f t="shared" si="34"/>
        <v>3249000</v>
      </c>
      <c r="K366" s="2">
        <f t="shared" si="30"/>
        <v>2631154.9474725537</v>
      </c>
    </row>
    <row r="367" spans="5:11" x14ac:dyDescent="0.25">
      <c r="E367">
        <v>0.36099999999999999</v>
      </c>
      <c r="F367" s="2">
        <f t="shared" si="31"/>
        <v>18050.419215717087</v>
      </c>
      <c r="G367" s="2">
        <f t="shared" si="32"/>
        <v>6498150.9176581511</v>
      </c>
      <c r="H367" s="26">
        <f t="shared" si="33"/>
        <v>5898150.9176581511</v>
      </c>
      <c r="I367" s="26">
        <f t="shared" si="35"/>
        <v>17995.970185597427</v>
      </c>
      <c r="J367" s="26">
        <f t="shared" si="34"/>
        <v>3258025</v>
      </c>
      <c r="K367" s="2">
        <f t="shared" si="30"/>
        <v>2640125.9176581511</v>
      </c>
    </row>
    <row r="368" spans="5:11" x14ac:dyDescent="0.25">
      <c r="E368">
        <v>0.36199999999999999</v>
      </c>
      <c r="F368" s="2">
        <f t="shared" si="31"/>
        <v>18100.408310752555</v>
      </c>
      <c r="G368" s="2">
        <f t="shared" si="32"/>
        <v>6516146.9918709202</v>
      </c>
      <c r="H368" s="26">
        <f t="shared" si="33"/>
        <v>5916146.9918709202</v>
      </c>
      <c r="I368" s="26">
        <f t="shared" si="35"/>
        <v>17996.074212769046</v>
      </c>
      <c r="J368" s="26">
        <f t="shared" si="34"/>
        <v>3267050</v>
      </c>
      <c r="K368" s="2">
        <f t="shared" si="30"/>
        <v>2649096.9918709202</v>
      </c>
    </row>
    <row r="369" spans="5:11" x14ac:dyDescent="0.25">
      <c r="E369">
        <v>0.36299999999999999</v>
      </c>
      <c r="F369" s="2">
        <f t="shared" si="31"/>
        <v>18150.397687366116</v>
      </c>
      <c r="G369" s="2">
        <f t="shared" si="32"/>
        <v>6534143.1674518017</v>
      </c>
      <c r="H369" s="26">
        <f t="shared" si="33"/>
        <v>5934143.1674518017</v>
      </c>
      <c r="I369" s="26">
        <f t="shared" si="35"/>
        <v>17996.175580881536</v>
      </c>
      <c r="J369" s="26">
        <f t="shared" si="34"/>
        <v>3276075</v>
      </c>
      <c r="K369" s="2">
        <f t="shared" si="30"/>
        <v>2658068.1674518017</v>
      </c>
    </row>
    <row r="370" spans="5:11" x14ac:dyDescent="0.25">
      <c r="E370">
        <v>0.36399999999999999</v>
      </c>
      <c r="F370" s="2">
        <f t="shared" si="31"/>
        <v>18200.387338357825</v>
      </c>
      <c r="G370" s="2">
        <f t="shared" si="32"/>
        <v>6552139.441808817</v>
      </c>
      <c r="H370" s="26">
        <f t="shared" si="33"/>
        <v>5952139.441808817</v>
      </c>
      <c r="I370" s="26">
        <f t="shared" si="35"/>
        <v>17996.274357015267</v>
      </c>
      <c r="J370" s="26">
        <f t="shared" si="34"/>
        <v>3285100</v>
      </c>
      <c r="K370" s="2">
        <f t="shared" si="30"/>
        <v>2667039.441808817</v>
      </c>
    </row>
    <row r="371" spans="5:11" x14ac:dyDescent="0.25">
      <c r="E371">
        <v>0.36499999999999999</v>
      </c>
      <c r="F371" s="2">
        <f t="shared" si="31"/>
        <v>18250.377256709446</v>
      </c>
      <c r="G371" s="2">
        <f t="shared" si="32"/>
        <v>6570135.8124154005</v>
      </c>
      <c r="H371" s="26">
        <f t="shared" si="33"/>
        <v>5970135.8124154005</v>
      </c>
      <c r="I371" s="26">
        <f t="shared" si="35"/>
        <v>17996.370606583543</v>
      </c>
      <c r="J371" s="26">
        <f t="shared" si="34"/>
        <v>3294125</v>
      </c>
      <c r="K371" s="2">
        <f t="shared" si="30"/>
        <v>2676010.8124154005</v>
      </c>
    </row>
    <row r="372" spans="5:11" x14ac:dyDescent="0.25">
      <c r="E372">
        <v>0.36599999999999999</v>
      </c>
      <c r="F372" s="2">
        <f t="shared" si="31"/>
        <v>18300.367435579952</v>
      </c>
      <c r="G372" s="2">
        <f t="shared" si="32"/>
        <v>6588132.2768087825</v>
      </c>
      <c r="H372" s="26">
        <f t="shared" si="33"/>
        <v>5988132.2768087825</v>
      </c>
      <c r="I372" s="26">
        <f t="shared" si="35"/>
        <v>17996.464393381961</v>
      </c>
      <c r="J372" s="26">
        <f t="shared" si="34"/>
        <v>3303150</v>
      </c>
      <c r="K372" s="2">
        <f t="shared" si="30"/>
        <v>2684982.2768087825</v>
      </c>
    </row>
    <row r="373" spans="5:11" x14ac:dyDescent="0.25">
      <c r="E373">
        <v>0.36699999999999999</v>
      </c>
      <c r="F373" s="2">
        <f t="shared" si="31"/>
        <v>18350.357868301115</v>
      </c>
      <c r="G373" s="2">
        <f t="shared" si="32"/>
        <v>6606128.8325884016</v>
      </c>
      <c r="H373" s="26">
        <f t="shared" si="33"/>
        <v>6006128.8325884016</v>
      </c>
      <c r="I373" s="26">
        <f t="shared" si="35"/>
        <v>17996.555779619142</v>
      </c>
      <c r="J373" s="26">
        <f t="shared" si="34"/>
        <v>3312175</v>
      </c>
      <c r="K373" s="2">
        <f t="shared" si="30"/>
        <v>2693953.8325884016</v>
      </c>
    </row>
    <row r="374" spans="5:11" x14ac:dyDescent="0.25">
      <c r="E374">
        <v>0.36799999999999999</v>
      </c>
      <c r="F374" s="2">
        <f t="shared" si="31"/>
        <v>18400.34854837324</v>
      </c>
      <c r="G374" s="2">
        <f t="shared" si="32"/>
        <v>6624125.4774143668</v>
      </c>
      <c r="H374" s="26">
        <f t="shared" si="33"/>
        <v>6024125.4774143668</v>
      </c>
      <c r="I374" s="26">
        <f t="shared" si="35"/>
        <v>17996.644825965166</v>
      </c>
      <c r="J374" s="26">
        <f t="shared" si="34"/>
        <v>3321200</v>
      </c>
      <c r="K374" s="2">
        <f t="shared" si="30"/>
        <v>2702925.4774143668</v>
      </c>
    </row>
    <row r="375" spans="5:11" x14ac:dyDescent="0.25">
      <c r="E375">
        <v>0.36899999999999999</v>
      </c>
      <c r="F375" s="2">
        <f t="shared" si="31"/>
        <v>18450.339469460956</v>
      </c>
      <c r="G375" s="2">
        <f t="shared" si="32"/>
        <v>6642122.2090059444</v>
      </c>
      <c r="H375" s="26">
        <f t="shared" si="33"/>
        <v>6042122.2090059444</v>
      </c>
      <c r="I375" s="26">
        <f t="shared" si="35"/>
        <v>17996.731591577642</v>
      </c>
      <c r="J375" s="26">
        <f t="shared" si="34"/>
        <v>3330225</v>
      </c>
      <c r="K375" s="2">
        <f t="shared" si="30"/>
        <v>2711897.2090059444</v>
      </c>
    </row>
    <row r="376" spans="5:11" x14ac:dyDescent="0.25">
      <c r="E376">
        <v>0.37</v>
      </c>
      <c r="F376" s="2">
        <f t="shared" si="31"/>
        <v>18500.33062538915</v>
      </c>
      <c r="G376" s="2">
        <f t="shared" si="32"/>
        <v>6660119.0251400936</v>
      </c>
      <c r="H376" s="26">
        <f t="shared" si="33"/>
        <v>6060119.0251400936</v>
      </c>
      <c r="I376" s="26">
        <f t="shared" si="35"/>
        <v>17996.816134149209</v>
      </c>
      <c r="J376" s="26">
        <f t="shared" si="34"/>
        <v>3339250</v>
      </c>
      <c r="K376" s="2">
        <f t="shared" si="30"/>
        <v>2720869.0251400936</v>
      </c>
    </row>
    <row r="377" spans="5:11" x14ac:dyDescent="0.25">
      <c r="E377">
        <v>0.371</v>
      </c>
      <c r="F377" s="2">
        <f t="shared" si="31"/>
        <v>18550.322010138971</v>
      </c>
      <c r="G377" s="2">
        <f t="shared" si="32"/>
        <v>6678115.9236500291</v>
      </c>
      <c r="H377" s="26">
        <f t="shared" si="33"/>
        <v>6078115.9236500291</v>
      </c>
      <c r="I377" s="26">
        <f t="shared" si="35"/>
        <v>17996.898509935476</v>
      </c>
      <c r="J377" s="26">
        <f t="shared" si="34"/>
        <v>3348275</v>
      </c>
      <c r="K377" s="2">
        <f t="shared" si="30"/>
        <v>2729840.9236500291</v>
      </c>
    </row>
    <row r="378" spans="5:11" x14ac:dyDescent="0.25">
      <c r="E378">
        <v>0.372</v>
      </c>
      <c r="F378" s="2">
        <f t="shared" si="31"/>
        <v>18600.313617843942</v>
      </c>
      <c r="G378" s="2">
        <f t="shared" si="32"/>
        <v>6696112.9024238186</v>
      </c>
      <c r="H378" s="26">
        <f t="shared" si="33"/>
        <v>6096112.9024238186</v>
      </c>
      <c r="I378" s="26">
        <f t="shared" si="35"/>
        <v>17996.97877378948</v>
      </c>
      <c r="J378" s="26">
        <f t="shared" si="34"/>
        <v>3357300</v>
      </c>
      <c r="K378" s="2">
        <f t="shared" si="30"/>
        <v>2738812.9024238186</v>
      </c>
    </row>
    <row r="379" spans="5:11" x14ac:dyDescent="0.25">
      <c r="E379">
        <v>0.373</v>
      </c>
      <c r="F379" s="2">
        <f t="shared" si="31"/>
        <v>18650.305442786172</v>
      </c>
      <c r="G379" s="2">
        <f t="shared" si="32"/>
        <v>6714109.9594030222</v>
      </c>
      <c r="H379" s="26">
        <f t="shared" si="33"/>
        <v>6114109.9594030222</v>
      </c>
      <c r="I379" s="26">
        <f t="shared" si="35"/>
        <v>17997.056979203597</v>
      </c>
      <c r="J379" s="26">
        <f t="shared" si="34"/>
        <v>3366325</v>
      </c>
      <c r="K379" s="2">
        <f t="shared" si="30"/>
        <v>2747784.9594030222</v>
      </c>
    </row>
    <row r="380" spans="5:11" x14ac:dyDescent="0.25">
      <c r="E380">
        <v>0.374</v>
      </c>
      <c r="F380" s="2">
        <f t="shared" si="31"/>
        <v>18700.297479392655</v>
      </c>
      <c r="G380" s="2">
        <f t="shared" si="32"/>
        <v>6732107.0925813559</v>
      </c>
      <c r="H380" s="26">
        <f t="shared" si="33"/>
        <v>6132107.0925813559</v>
      </c>
      <c r="I380" s="26">
        <f t="shared" si="35"/>
        <v>17997.133178333752</v>
      </c>
      <c r="J380" s="26">
        <f t="shared" si="34"/>
        <v>3375350</v>
      </c>
      <c r="K380" s="2">
        <f t="shared" si="30"/>
        <v>2756757.0925813559</v>
      </c>
    </row>
    <row r="381" spans="5:11" x14ac:dyDescent="0.25">
      <c r="E381">
        <v>0.375</v>
      </c>
      <c r="F381" s="2">
        <f t="shared" si="31"/>
        <v>18750.28972223165</v>
      </c>
      <c r="G381" s="2">
        <f t="shared" si="32"/>
        <v>6750104.3000033936</v>
      </c>
      <c r="H381" s="26">
        <f t="shared" si="33"/>
        <v>6150104.3000033936</v>
      </c>
      <c r="I381" s="26">
        <f t="shared" si="35"/>
        <v>17997.207422037609</v>
      </c>
      <c r="J381" s="26">
        <f t="shared" si="34"/>
        <v>3384375</v>
      </c>
      <c r="K381" s="2">
        <f t="shared" si="30"/>
        <v>2765729.3000033936</v>
      </c>
    </row>
    <row r="382" spans="5:11" x14ac:dyDescent="0.25">
      <c r="E382">
        <v>0.376</v>
      </c>
      <c r="F382" s="2">
        <f t="shared" si="31"/>
        <v>18800.282166009165</v>
      </c>
      <c r="G382" s="2">
        <f t="shared" si="32"/>
        <v>6768101.5797632998</v>
      </c>
      <c r="H382" s="26">
        <f t="shared" si="33"/>
        <v>6168101.5797632998</v>
      </c>
      <c r="I382" s="26">
        <f t="shared" si="35"/>
        <v>17997.279759906232</v>
      </c>
      <c r="J382" s="26">
        <f t="shared" si="34"/>
        <v>3393400</v>
      </c>
      <c r="K382" s="2">
        <f t="shared" si="30"/>
        <v>2774701.5797632998</v>
      </c>
    </row>
    <row r="383" spans="5:11" x14ac:dyDescent="0.25">
      <c r="E383">
        <v>0.377</v>
      </c>
      <c r="F383" s="2">
        <f t="shared" si="31"/>
        <v>18850.274805565525</v>
      </c>
      <c r="G383" s="2">
        <f t="shared" si="32"/>
        <v>6786098.930003589</v>
      </c>
      <c r="H383" s="26">
        <f t="shared" si="33"/>
        <v>6186098.930003589</v>
      </c>
      <c r="I383" s="26">
        <f t="shared" si="35"/>
        <v>17997.350240289234</v>
      </c>
      <c r="J383" s="26">
        <f t="shared" si="34"/>
        <v>3402425</v>
      </c>
      <c r="K383" s="2">
        <f t="shared" si="30"/>
        <v>2783673.930003589</v>
      </c>
    </row>
    <row r="384" spans="5:11" x14ac:dyDescent="0.25">
      <c r="E384">
        <v>0.378</v>
      </c>
      <c r="F384" s="2">
        <f t="shared" si="31"/>
        <v>18900.267635871991</v>
      </c>
      <c r="G384" s="2">
        <f t="shared" si="32"/>
        <v>6804096.3489139164</v>
      </c>
      <c r="H384" s="26">
        <f t="shared" si="33"/>
        <v>6204096.3489139164</v>
      </c>
      <c r="I384" s="26">
        <f t="shared" si="35"/>
        <v>17997.418910327367</v>
      </c>
      <c r="J384" s="26">
        <f t="shared" si="34"/>
        <v>3411450</v>
      </c>
      <c r="K384" s="2">
        <f t="shared" si="30"/>
        <v>2792646.3489139164</v>
      </c>
    </row>
    <row r="385" spans="5:11" x14ac:dyDescent="0.25">
      <c r="E385">
        <v>0.379</v>
      </c>
      <c r="F385" s="2">
        <f t="shared" si="31"/>
        <v>18950.260652027526</v>
      </c>
      <c r="G385" s="2">
        <f t="shared" si="32"/>
        <v>6822093.834729909</v>
      </c>
      <c r="H385" s="26">
        <f t="shared" si="33"/>
        <v>6222093.834729909</v>
      </c>
      <c r="I385" s="26">
        <f t="shared" si="35"/>
        <v>17997.485815992579</v>
      </c>
      <c r="J385" s="26">
        <f t="shared" si="34"/>
        <v>3420475</v>
      </c>
      <c r="K385" s="2">
        <f t="shared" si="30"/>
        <v>2801618.834729909</v>
      </c>
    </row>
    <row r="386" spans="5:11" x14ac:dyDescent="0.25">
      <c r="E386">
        <v>0.38</v>
      </c>
      <c r="F386" s="2">
        <f t="shared" si="31"/>
        <v>19000.253849255583</v>
      </c>
      <c r="G386" s="2">
        <f t="shared" si="32"/>
        <v>6840091.38573201</v>
      </c>
      <c r="H386" s="26">
        <f t="shared" si="33"/>
        <v>6240091.38573201</v>
      </c>
      <c r="I386" s="26">
        <f t="shared" si="35"/>
        <v>17997.551002101041</v>
      </c>
      <c r="J386" s="26">
        <f t="shared" si="34"/>
        <v>3429500</v>
      </c>
      <c r="K386" s="2">
        <f t="shared" si="30"/>
        <v>2810591.38573201</v>
      </c>
    </row>
    <row r="387" spans="5:11" x14ac:dyDescent="0.25">
      <c r="E387">
        <v>0.38100000000000001</v>
      </c>
      <c r="F387" s="2">
        <f t="shared" si="31"/>
        <v>19050.247222900991</v>
      </c>
      <c r="G387" s="2">
        <f t="shared" si="32"/>
        <v>6858089.0002443567</v>
      </c>
      <c r="H387" s="26">
        <f t="shared" si="33"/>
        <v>6258089.0002443567</v>
      </c>
      <c r="I387" s="26">
        <f t="shared" si="35"/>
        <v>17997.614512346685</v>
      </c>
      <c r="J387" s="26">
        <f t="shared" si="34"/>
        <v>3438525</v>
      </c>
      <c r="K387" s="2">
        <f t="shared" si="30"/>
        <v>2819564.0002443567</v>
      </c>
    </row>
    <row r="388" spans="5:11" x14ac:dyDescent="0.25">
      <c r="E388">
        <v>0.38200000000000001</v>
      </c>
      <c r="F388" s="2">
        <f t="shared" si="31"/>
        <v>19100.240768426909</v>
      </c>
      <c r="G388" s="2">
        <f t="shared" si="32"/>
        <v>6876086.6766336877</v>
      </c>
      <c r="H388" s="26">
        <f t="shared" si="33"/>
        <v>6276086.6766336877</v>
      </c>
      <c r="I388" s="26">
        <f t="shared" si="35"/>
        <v>17997.676389330998</v>
      </c>
      <c r="J388" s="26">
        <f t="shared" si="34"/>
        <v>3447550</v>
      </c>
      <c r="K388" s="2">
        <f t="shared" si="30"/>
        <v>2828536.6766336877</v>
      </c>
    </row>
    <row r="389" spans="5:11" x14ac:dyDescent="0.25">
      <c r="E389">
        <v>0.38300000000000001</v>
      </c>
      <c r="F389" s="2">
        <f t="shared" si="31"/>
        <v>19150.234481411902</v>
      </c>
      <c r="G389" s="2">
        <f t="shared" si="32"/>
        <v>6894084.4133082852</v>
      </c>
      <c r="H389" s="26">
        <f t="shared" si="33"/>
        <v>6294084.4133082852</v>
      </c>
      <c r="I389" s="26">
        <f t="shared" si="35"/>
        <v>17997.736674597487</v>
      </c>
      <c r="J389" s="26">
        <f t="shared" si="34"/>
        <v>3456575</v>
      </c>
      <c r="K389" s="2">
        <f t="shared" si="30"/>
        <v>2837509.4133082852</v>
      </c>
    </row>
    <row r="390" spans="5:11" x14ac:dyDescent="0.25">
      <c r="E390">
        <v>0.38400000000000001</v>
      </c>
      <c r="F390" s="2">
        <f t="shared" si="31"/>
        <v>19200.228357546988</v>
      </c>
      <c r="G390" s="2">
        <f t="shared" si="32"/>
        <v>6912082.2087169159</v>
      </c>
      <c r="H390" s="26">
        <f t="shared" si="33"/>
        <v>6312082.2087169159</v>
      </c>
      <c r="I390" s="26">
        <f t="shared" si="35"/>
        <v>17997.795408630744</v>
      </c>
      <c r="J390" s="26">
        <f t="shared" si="34"/>
        <v>3465600</v>
      </c>
      <c r="K390" s="2">
        <f t="shared" ref="K390:K453" si="36">H390-J390</f>
        <v>2846482.2087169159</v>
      </c>
    </row>
    <row r="391" spans="5:11" x14ac:dyDescent="0.25">
      <c r="E391">
        <v>0.38500000000000001</v>
      </c>
      <c r="F391" s="2">
        <f t="shared" ref="F391:F454" si="37">PMT(E391/12,$C$7,-$C$6,0,0)</f>
        <v>19250.222392632884</v>
      </c>
      <c r="G391" s="2">
        <f t="shared" ref="G391:G454" si="38">360*F391</f>
        <v>6930080.0613478385</v>
      </c>
      <c r="H391" s="26">
        <f t="shared" ref="H391:H454" si="39">360*F391-$C$6</f>
        <v>6330080.0613478385</v>
      </c>
      <c r="I391" s="26">
        <f t="shared" si="35"/>
        <v>17997.852630922571</v>
      </c>
      <c r="J391" s="26">
        <f t="shared" ref="J391:J454" si="40">$C$6*E391/12*($C$7+1)/2</f>
        <v>3474625</v>
      </c>
      <c r="K391" s="2">
        <f t="shared" si="36"/>
        <v>2855455.0613478385</v>
      </c>
    </row>
    <row r="392" spans="5:11" x14ac:dyDescent="0.25">
      <c r="E392">
        <v>0.38600000000000001</v>
      </c>
      <c r="F392" s="2">
        <f t="shared" si="37"/>
        <v>19300.216582577206</v>
      </c>
      <c r="G392" s="2">
        <f t="shared" si="38"/>
        <v>6948077.9697277946</v>
      </c>
      <c r="H392" s="26">
        <f t="shared" si="39"/>
        <v>6348077.9697277946</v>
      </c>
      <c r="I392" s="26">
        <f t="shared" si="35"/>
        <v>17997.908379956149</v>
      </c>
      <c r="J392" s="26">
        <f t="shared" si="40"/>
        <v>3483650</v>
      </c>
      <c r="K392" s="2">
        <f t="shared" si="36"/>
        <v>2864427.9697277946</v>
      </c>
    </row>
    <row r="393" spans="5:11" x14ac:dyDescent="0.25">
      <c r="E393">
        <v>0.38700000000000001</v>
      </c>
      <c r="F393" s="2">
        <f t="shared" si="37"/>
        <v>19350.210923391809</v>
      </c>
      <c r="G393" s="2">
        <f t="shared" si="38"/>
        <v>6966075.932421051</v>
      </c>
      <c r="H393" s="26">
        <f t="shared" si="39"/>
        <v>6366075.932421051</v>
      </c>
      <c r="I393" s="26">
        <f t="shared" ref="I393:I456" si="41">H393-H392</f>
        <v>17997.962693256326</v>
      </c>
      <c r="J393" s="26">
        <f t="shared" si="40"/>
        <v>3492675</v>
      </c>
      <c r="K393" s="2">
        <f t="shared" si="36"/>
        <v>2873400.932421051</v>
      </c>
    </row>
    <row r="394" spans="5:11" x14ac:dyDescent="0.25">
      <c r="E394">
        <v>0.38800000000000001</v>
      </c>
      <c r="F394" s="2">
        <f t="shared" si="37"/>
        <v>19400.205411190174</v>
      </c>
      <c r="G394" s="2">
        <f t="shared" si="38"/>
        <v>6984073.9480284629</v>
      </c>
      <c r="H394" s="26">
        <f t="shared" si="39"/>
        <v>6384073.9480284629</v>
      </c>
      <c r="I394" s="26">
        <f t="shared" si="41"/>
        <v>17998.015607411973</v>
      </c>
      <c r="J394" s="26">
        <f t="shared" si="40"/>
        <v>3501700</v>
      </c>
      <c r="K394" s="2">
        <f t="shared" si="36"/>
        <v>2882373.9480284629</v>
      </c>
    </row>
    <row r="395" spans="5:11" x14ac:dyDescent="0.25">
      <c r="E395">
        <v>0.38900000000000001</v>
      </c>
      <c r="F395" s="2">
        <f t="shared" si="37"/>
        <v>19450.200042184842</v>
      </c>
      <c r="G395" s="2">
        <f t="shared" si="38"/>
        <v>7002072.0151865436</v>
      </c>
      <c r="H395" s="26">
        <f t="shared" si="39"/>
        <v>6402072.0151865436</v>
      </c>
      <c r="I395" s="26">
        <f t="shared" si="41"/>
        <v>17998.067158080637</v>
      </c>
      <c r="J395" s="26">
        <f t="shared" si="40"/>
        <v>3510725</v>
      </c>
      <c r="K395" s="2">
        <f t="shared" si="36"/>
        <v>2891347.0151865436</v>
      </c>
    </row>
    <row r="396" spans="5:11" x14ac:dyDescent="0.25">
      <c r="E396">
        <v>0.39</v>
      </c>
      <c r="F396" s="2">
        <f t="shared" si="37"/>
        <v>19500.194812684927</v>
      </c>
      <c r="G396" s="2">
        <f t="shared" si="38"/>
        <v>7020070.132566574</v>
      </c>
      <c r="H396" s="26">
        <f t="shared" si="39"/>
        <v>6420070.132566574</v>
      </c>
      <c r="I396" s="26">
        <f t="shared" si="41"/>
        <v>17998.117380030453</v>
      </c>
      <c r="J396" s="26">
        <f t="shared" si="40"/>
        <v>3519750</v>
      </c>
      <c r="K396" s="2">
        <f t="shared" si="36"/>
        <v>2900320.132566574</v>
      </c>
    </row>
    <row r="397" spans="5:11" x14ac:dyDescent="0.25">
      <c r="E397">
        <v>0.39100000000000001</v>
      </c>
      <c r="F397" s="2">
        <f t="shared" si="37"/>
        <v>19550.189719093702</v>
      </c>
      <c r="G397" s="2">
        <f t="shared" si="38"/>
        <v>7038068.2988737328</v>
      </c>
      <c r="H397" s="26">
        <f t="shared" si="39"/>
        <v>6438068.2988737328</v>
      </c>
      <c r="I397" s="26">
        <f t="shared" si="41"/>
        <v>17998.166307158768</v>
      </c>
      <c r="J397" s="26">
        <f t="shared" si="40"/>
        <v>3528775</v>
      </c>
      <c r="K397" s="2">
        <f t="shared" si="36"/>
        <v>2909293.2988737328</v>
      </c>
    </row>
    <row r="398" spans="5:11" x14ac:dyDescent="0.25">
      <c r="E398">
        <v>0.39200000000000002</v>
      </c>
      <c r="F398" s="2">
        <f t="shared" si="37"/>
        <v>19600.184757906212</v>
      </c>
      <c r="G398" s="2">
        <f t="shared" si="38"/>
        <v>7056066.5128462361</v>
      </c>
      <c r="H398" s="26">
        <f t="shared" si="39"/>
        <v>6456066.5128462361</v>
      </c>
      <c r="I398" s="26">
        <f t="shared" si="41"/>
        <v>17998.213972503319</v>
      </c>
      <c r="J398" s="26">
        <f t="shared" si="40"/>
        <v>3537800</v>
      </c>
      <c r="K398" s="2">
        <f t="shared" si="36"/>
        <v>2918266.5128462361</v>
      </c>
    </row>
    <row r="399" spans="5:11" x14ac:dyDescent="0.25">
      <c r="E399">
        <v>0.39300000000000002</v>
      </c>
      <c r="F399" s="2">
        <f t="shared" si="37"/>
        <v>19650.179925706976</v>
      </c>
      <c r="G399" s="2">
        <f t="shared" si="38"/>
        <v>7074064.7732545109</v>
      </c>
      <c r="H399" s="26">
        <f t="shared" si="39"/>
        <v>6474064.7732545109</v>
      </c>
      <c r="I399" s="26">
        <f t="shared" si="41"/>
        <v>17998.260408274829</v>
      </c>
      <c r="J399" s="26">
        <f t="shared" si="40"/>
        <v>3546825</v>
      </c>
      <c r="K399" s="2">
        <f t="shared" si="36"/>
        <v>2927239.7732545109</v>
      </c>
    </row>
    <row r="400" spans="5:11" x14ac:dyDescent="0.25">
      <c r="E400">
        <v>0.39400000000000002</v>
      </c>
      <c r="F400" s="2">
        <f t="shared" si="37"/>
        <v>19700.175219167726</v>
      </c>
      <c r="G400" s="2">
        <f t="shared" si="38"/>
        <v>7092063.078900381</v>
      </c>
      <c r="H400" s="26">
        <f t="shared" si="39"/>
        <v>6492063.078900381</v>
      </c>
      <c r="I400" s="26">
        <f t="shared" si="41"/>
        <v>17998.305645870045</v>
      </c>
      <c r="J400" s="26">
        <f t="shared" si="40"/>
        <v>3555850</v>
      </c>
      <c r="K400" s="2">
        <f t="shared" si="36"/>
        <v>2936213.078900381</v>
      </c>
    </row>
    <row r="401" spans="5:11" x14ac:dyDescent="0.25">
      <c r="E401">
        <v>0.39500000000000002</v>
      </c>
      <c r="F401" s="2">
        <f t="shared" si="37"/>
        <v>19750.17063504523</v>
      </c>
      <c r="G401" s="2">
        <f t="shared" si="38"/>
        <v>7110061.4286162825</v>
      </c>
      <c r="H401" s="26">
        <f t="shared" si="39"/>
        <v>6510061.4286162825</v>
      </c>
      <c r="I401" s="26">
        <f t="shared" si="41"/>
        <v>17998.349715901539</v>
      </c>
      <c r="J401" s="26">
        <f t="shared" si="40"/>
        <v>3564875</v>
      </c>
      <c r="K401" s="2">
        <f t="shared" si="36"/>
        <v>2945186.4286162825</v>
      </c>
    </row>
    <row r="402" spans="5:11" x14ac:dyDescent="0.25">
      <c r="E402">
        <v>0.39600000000000002</v>
      </c>
      <c r="F402" s="2">
        <f t="shared" si="37"/>
        <v>19800.166170179109</v>
      </c>
      <c r="G402" s="2">
        <f t="shared" si="38"/>
        <v>7128059.8212644793</v>
      </c>
      <c r="H402" s="26">
        <f t="shared" si="39"/>
        <v>6528059.8212644793</v>
      </c>
      <c r="I402" s="26">
        <f t="shared" si="41"/>
        <v>17998.392648196779</v>
      </c>
      <c r="J402" s="26">
        <f t="shared" si="40"/>
        <v>3573900</v>
      </c>
      <c r="K402" s="2">
        <f t="shared" si="36"/>
        <v>2954159.8212644793</v>
      </c>
    </row>
    <row r="403" spans="5:11" x14ac:dyDescent="0.25">
      <c r="E403">
        <v>0.39700000000000002</v>
      </c>
      <c r="F403" s="2">
        <f t="shared" si="37"/>
        <v>19850.161821489786</v>
      </c>
      <c r="G403" s="2">
        <f t="shared" si="38"/>
        <v>7146058.2557363231</v>
      </c>
      <c r="H403" s="26">
        <f t="shared" si="39"/>
        <v>6546058.2557363231</v>
      </c>
      <c r="I403" s="26">
        <f t="shared" si="41"/>
        <v>17998.434471843764</v>
      </c>
      <c r="J403" s="26">
        <f t="shared" si="40"/>
        <v>3582925</v>
      </c>
      <c r="K403" s="2">
        <f t="shared" si="36"/>
        <v>2963133.2557363231</v>
      </c>
    </row>
    <row r="404" spans="5:11" x14ac:dyDescent="0.25">
      <c r="E404">
        <v>0.39800000000000002</v>
      </c>
      <c r="F404" s="2">
        <f t="shared" si="37"/>
        <v>19900.157585976449</v>
      </c>
      <c r="G404" s="2">
        <f t="shared" si="38"/>
        <v>7164056.7309515215</v>
      </c>
      <c r="H404" s="26">
        <f t="shared" si="39"/>
        <v>6564056.7309515215</v>
      </c>
      <c r="I404" s="26">
        <f t="shared" si="41"/>
        <v>17998.475215198472</v>
      </c>
      <c r="J404" s="26">
        <f t="shared" si="40"/>
        <v>3591950</v>
      </c>
      <c r="K404" s="2">
        <f t="shared" si="36"/>
        <v>2972106.7309515215</v>
      </c>
    </row>
    <row r="405" spans="5:11" x14ac:dyDescent="0.25">
      <c r="E405">
        <v>0.39900000000000002</v>
      </c>
      <c r="F405" s="2">
        <f t="shared" si="37"/>
        <v>19950.153460715017</v>
      </c>
      <c r="G405" s="2">
        <f t="shared" si="38"/>
        <v>7182055.2458574064</v>
      </c>
      <c r="H405" s="26">
        <f t="shared" si="39"/>
        <v>6582055.2458574064</v>
      </c>
      <c r="I405" s="26">
        <f t="shared" si="41"/>
        <v>17998.514905884862</v>
      </c>
      <c r="J405" s="26">
        <f t="shared" si="40"/>
        <v>3600975</v>
      </c>
      <c r="K405" s="2">
        <f t="shared" si="36"/>
        <v>2981080.2458574064</v>
      </c>
    </row>
    <row r="406" spans="5:11" x14ac:dyDescent="0.25">
      <c r="E406">
        <v>0.4</v>
      </c>
      <c r="F406" s="2">
        <f t="shared" si="37"/>
        <v>20000.149442856255</v>
      </c>
      <c r="G406" s="2">
        <f t="shared" si="38"/>
        <v>7200053.7994282516</v>
      </c>
      <c r="H406" s="26">
        <f t="shared" si="39"/>
        <v>6600053.7994282516</v>
      </c>
      <c r="I406" s="26">
        <f t="shared" si="41"/>
        <v>17998.553570845164</v>
      </c>
      <c r="J406" s="26">
        <f t="shared" si="40"/>
        <v>3610000</v>
      </c>
      <c r="K406" s="2">
        <f t="shared" si="36"/>
        <v>2990053.7994282516</v>
      </c>
    </row>
    <row r="407" spans="5:11" x14ac:dyDescent="0.25">
      <c r="E407">
        <v>0.40100000000000002</v>
      </c>
      <c r="F407" s="2">
        <f t="shared" si="37"/>
        <v>20050.14552962386</v>
      </c>
      <c r="G407" s="2">
        <f t="shared" si="38"/>
        <v>7218052.3906645896</v>
      </c>
      <c r="H407" s="26">
        <f t="shared" si="39"/>
        <v>6618052.3906645896</v>
      </c>
      <c r="I407" s="26">
        <f t="shared" si="41"/>
        <v>17998.591236338019</v>
      </c>
      <c r="J407" s="26">
        <f t="shared" si="40"/>
        <v>3619025</v>
      </c>
      <c r="K407" s="2">
        <f t="shared" si="36"/>
        <v>2999027.3906645896</v>
      </c>
    </row>
    <row r="408" spans="5:11" x14ac:dyDescent="0.25">
      <c r="E408">
        <v>0.40200000000000002</v>
      </c>
      <c r="F408" s="2">
        <f t="shared" si="37"/>
        <v>20100.141718312603</v>
      </c>
      <c r="G408" s="2">
        <f t="shared" si="38"/>
        <v>7236051.0185925374</v>
      </c>
      <c r="H408" s="26">
        <f t="shared" si="39"/>
        <v>6636051.0185925374</v>
      </c>
      <c r="I408" s="26">
        <f t="shared" si="41"/>
        <v>17998.627927947789</v>
      </c>
      <c r="J408" s="26">
        <f t="shared" si="40"/>
        <v>3628050</v>
      </c>
      <c r="K408" s="2">
        <f t="shared" si="36"/>
        <v>3008001.0185925374</v>
      </c>
    </row>
    <row r="409" spans="5:11" x14ac:dyDescent="0.25">
      <c r="E409">
        <v>0.40300000000000002</v>
      </c>
      <c r="F409" s="2">
        <f t="shared" si="37"/>
        <v>20150.138006286576</v>
      </c>
      <c r="G409" s="2">
        <f t="shared" si="38"/>
        <v>7254049.6822631676</v>
      </c>
      <c r="H409" s="26">
        <f t="shared" si="39"/>
        <v>6654049.6822631676</v>
      </c>
      <c r="I409" s="26">
        <f t="shared" si="41"/>
        <v>17998.663670630194</v>
      </c>
      <c r="J409" s="26">
        <f t="shared" si="40"/>
        <v>3637075.0000000005</v>
      </c>
      <c r="K409" s="2">
        <f t="shared" si="36"/>
        <v>3016974.6822631671</v>
      </c>
    </row>
    <row r="410" spans="5:11" x14ac:dyDescent="0.25">
      <c r="E410">
        <v>0.40400000000000003</v>
      </c>
      <c r="F410" s="2">
        <f t="shared" si="37"/>
        <v>20200.13439097739</v>
      </c>
      <c r="G410" s="2">
        <f t="shared" si="38"/>
        <v>7272048.3807518603</v>
      </c>
      <c r="H410" s="26">
        <f t="shared" si="39"/>
        <v>6672048.3807518603</v>
      </c>
      <c r="I410" s="26">
        <f t="shared" si="41"/>
        <v>17998.698488692753</v>
      </c>
      <c r="J410" s="26">
        <f t="shared" si="40"/>
        <v>3646100.0000000005</v>
      </c>
      <c r="K410" s="2">
        <f t="shared" si="36"/>
        <v>3025948.3807518599</v>
      </c>
    </row>
    <row r="411" spans="5:11" x14ac:dyDescent="0.25">
      <c r="E411">
        <v>0.40500000000000003</v>
      </c>
      <c r="F411" s="2">
        <f t="shared" si="37"/>
        <v>20250.130869882491</v>
      </c>
      <c r="G411" s="2">
        <f t="shared" si="38"/>
        <v>7290047.113157697</v>
      </c>
      <c r="H411" s="26">
        <f t="shared" si="39"/>
        <v>6690047.113157697</v>
      </c>
      <c r="I411" s="26">
        <f t="shared" si="41"/>
        <v>17998.732405836694</v>
      </c>
      <c r="J411" s="26">
        <f t="shared" si="40"/>
        <v>3655125.0000000005</v>
      </c>
      <c r="K411" s="2">
        <f t="shared" si="36"/>
        <v>3034922.1131576966</v>
      </c>
    </row>
    <row r="412" spans="5:11" x14ac:dyDescent="0.25">
      <c r="E412">
        <v>0.40600000000000003</v>
      </c>
      <c r="F412" s="2">
        <f t="shared" si="37"/>
        <v>20300.127440563487</v>
      </c>
      <c r="G412" s="2">
        <f t="shared" si="38"/>
        <v>7308045.8786028549</v>
      </c>
      <c r="H412" s="26">
        <f t="shared" si="39"/>
        <v>6708045.8786028549</v>
      </c>
      <c r="I412" s="26">
        <f t="shared" si="41"/>
        <v>17998.765445157886</v>
      </c>
      <c r="J412" s="26">
        <f t="shared" si="40"/>
        <v>3664150.0000000005</v>
      </c>
      <c r="K412" s="2">
        <f t="shared" si="36"/>
        <v>3043895.8786028544</v>
      </c>
    </row>
    <row r="413" spans="5:11" x14ac:dyDescent="0.25">
      <c r="E413">
        <v>0.40699999999999997</v>
      </c>
      <c r="F413" s="2">
        <f t="shared" si="37"/>
        <v>20350.124100644545</v>
      </c>
      <c r="G413" s="2">
        <f t="shared" si="38"/>
        <v>7326044.6762320362</v>
      </c>
      <c r="H413" s="26">
        <f t="shared" si="39"/>
        <v>6726044.6762320362</v>
      </c>
      <c r="I413" s="26">
        <f t="shared" si="41"/>
        <v>17998.797629181296</v>
      </c>
      <c r="J413" s="26">
        <f t="shared" si="40"/>
        <v>3673174.9999999995</v>
      </c>
      <c r="K413" s="2">
        <f t="shared" si="36"/>
        <v>3052869.6762320367</v>
      </c>
    </row>
    <row r="414" spans="5:11" x14ac:dyDescent="0.25">
      <c r="E414">
        <v>0.40799999999999997</v>
      </c>
      <c r="F414" s="2">
        <f t="shared" si="37"/>
        <v>20400.120847810762</v>
      </c>
      <c r="G414" s="2">
        <f t="shared" si="38"/>
        <v>7344043.5052118739</v>
      </c>
      <c r="H414" s="26">
        <f t="shared" si="39"/>
        <v>6744043.5052118739</v>
      </c>
      <c r="I414" s="26">
        <f t="shared" si="41"/>
        <v>17998.828979837708</v>
      </c>
      <c r="J414" s="26">
        <f t="shared" si="40"/>
        <v>3682199.9999999995</v>
      </c>
      <c r="K414" s="2">
        <f t="shared" si="36"/>
        <v>3061843.5052118744</v>
      </c>
    </row>
    <row r="415" spans="5:11" x14ac:dyDescent="0.25">
      <c r="E415">
        <v>0.40899999999999997</v>
      </c>
      <c r="F415" s="2">
        <f t="shared" si="37"/>
        <v>20450.117679806655</v>
      </c>
      <c r="G415" s="2">
        <f t="shared" si="38"/>
        <v>7362042.3647303963</v>
      </c>
      <c r="H415" s="26">
        <f t="shared" si="39"/>
        <v>6762042.3647303963</v>
      </c>
      <c r="I415" s="26">
        <f t="shared" si="41"/>
        <v>17998.859518522397</v>
      </c>
      <c r="J415" s="26">
        <f t="shared" si="40"/>
        <v>3691224.9999999995</v>
      </c>
      <c r="K415" s="2">
        <f t="shared" si="36"/>
        <v>3070817.3647303968</v>
      </c>
    </row>
    <row r="416" spans="5:11" x14ac:dyDescent="0.25">
      <c r="E416">
        <v>0.41</v>
      </c>
      <c r="F416" s="2">
        <f t="shared" si="37"/>
        <v>20500.114594434646</v>
      </c>
      <c r="G416" s="2">
        <f t="shared" si="38"/>
        <v>7380041.2539964728</v>
      </c>
      <c r="H416" s="26">
        <f t="shared" si="39"/>
        <v>6780041.2539964728</v>
      </c>
      <c r="I416" s="26">
        <f t="shared" si="41"/>
        <v>17998.889266076498</v>
      </c>
      <c r="J416" s="26">
        <f t="shared" si="40"/>
        <v>3700249.9999999995</v>
      </c>
      <c r="K416" s="2">
        <f t="shared" si="36"/>
        <v>3079791.2539964733</v>
      </c>
    </row>
    <row r="417" spans="5:11" x14ac:dyDescent="0.25">
      <c r="E417">
        <v>0.41099999999999998</v>
      </c>
      <c r="F417" s="2">
        <f t="shared" si="37"/>
        <v>20550.11158955358</v>
      </c>
      <c r="G417" s="2">
        <f t="shared" si="38"/>
        <v>7398040.1722392887</v>
      </c>
      <c r="H417" s="26">
        <f t="shared" si="39"/>
        <v>6798040.1722392887</v>
      </c>
      <c r="I417" s="26">
        <f t="shared" si="41"/>
        <v>17998.918242815882</v>
      </c>
      <c r="J417" s="26">
        <f t="shared" si="40"/>
        <v>3709275</v>
      </c>
      <c r="K417" s="2">
        <f t="shared" si="36"/>
        <v>3088765.1722392887</v>
      </c>
    </row>
    <row r="418" spans="5:11" x14ac:dyDescent="0.25">
      <c r="E418">
        <v>0.41199999999999998</v>
      </c>
      <c r="F418" s="2">
        <f t="shared" si="37"/>
        <v>20600.108663077317</v>
      </c>
      <c r="G418" s="2">
        <f t="shared" si="38"/>
        <v>7416039.1187078338</v>
      </c>
      <c r="H418" s="26">
        <f t="shared" si="39"/>
        <v>6816039.1187078338</v>
      </c>
      <c r="I418" s="26">
        <f t="shared" si="41"/>
        <v>17998.946468545124</v>
      </c>
      <c r="J418" s="26">
        <f t="shared" si="40"/>
        <v>3718300</v>
      </c>
      <c r="K418" s="2">
        <f t="shared" si="36"/>
        <v>3097739.1187078338</v>
      </c>
    </row>
    <row r="419" spans="5:11" x14ac:dyDescent="0.25">
      <c r="E419">
        <v>0.41299999999999998</v>
      </c>
      <c r="F419" s="2">
        <f t="shared" si="37"/>
        <v>20650.10581297331</v>
      </c>
      <c r="G419" s="2">
        <f t="shared" si="38"/>
        <v>7434038.0926703913</v>
      </c>
      <c r="H419" s="26">
        <f t="shared" si="39"/>
        <v>6834038.0926703913</v>
      </c>
      <c r="I419" s="26">
        <f t="shared" si="41"/>
        <v>17998.973962557502</v>
      </c>
      <c r="J419" s="26">
        <f t="shared" si="40"/>
        <v>3727325</v>
      </c>
      <c r="K419" s="2">
        <f t="shared" si="36"/>
        <v>3106713.0926703913</v>
      </c>
    </row>
    <row r="420" spans="5:11" x14ac:dyDescent="0.25">
      <c r="E420">
        <v>0.41399999999999998</v>
      </c>
      <c r="F420" s="2">
        <f t="shared" si="37"/>
        <v>20700.103037261259</v>
      </c>
      <c r="G420" s="2">
        <f t="shared" si="38"/>
        <v>7452037.0934140533</v>
      </c>
      <c r="H420" s="26">
        <f t="shared" si="39"/>
        <v>6852037.0934140533</v>
      </c>
      <c r="I420" s="26">
        <f t="shared" si="41"/>
        <v>17999.000743662007</v>
      </c>
      <c r="J420" s="26">
        <f t="shared" si="40"/>
        <v>3736350</v>
      </c>
      <c r="K420" s="2">
        <f t="shared" si="36"/>
        <v>3115687.0934140533</v>
      </c>
    </row>
    <row r="421" spans="5:11" x14ac:dyDescent="0.25">
      <c r="E421">
        <v>0.41499999999999998</v>
      </c>
      <c r="F421" s="2">
        <f t="shared" si="37"/>
        <v>20750.100334011786</v>
      </c>
      <c r="G421" s="2">
        <f t="shared" si="38"/>
        <v>7470036.1202442432</v>
      </c>
      <c r="H421" s="26">
        <f t="shared" si="39"/>
        <v>6870036.1202442432</v>
      </c>
      <c r="I421" s="26">
        <f t="shared" si="41"/>
        <v>17999.026830189861</v>
      </c>
      <c r="J421" s="26">
        <f t="shared" si="40"/>
        <v>3745375</v>
      </c>
      <c r="K421" s="2">
        <f t="shared" si="36"/>
        <v>3124661.1202442432</v>
      </c>
    </row>
    <row r="422" spans="5:11" x14ac:dyDescent="0.25">
      <c r="E422">
        <v>0.41599999999999998</v>
      </c>
      <c r="F422" s="2">
        <f t="shared" si="37"/>
        <v>20800.097701345119</v>
      </c>
      <c r="G422" s="2">
        <f t="shared" si="38"/>
        <v>7488035.1724842433</v>
      </c>
      <c r="H422" s="26">
        <f t="shared" si="39"/>
        <v>6888035.1724842433</v>
      </c>
      <c r="I422" s="26">
        <f t="shared" si="41"/>
        <v>17999.052240000106</v>
      </c>
      <c r="J422" s="26">
        <f t="shared" si="40"/>
        <v>3754400</v>
      </c>
      <c r="K422" s="2">
        <f t="shared" si="36"/>
        <v>3133635.1724842433</v>
      </c>
    </row>
    <row r="423" spans="5:11" x14ac:dyDescent="0.25">
      <c r="E423">
        <v>0.41699999999999998</v>
      </c>
      <c r="F423" s="2">
        <f t="shared" si="37"/>
        <v>20850.095137429857</v>
      </c>
      <c r="G423" s="2">
        <f t="shared" si="38"/>
        <v>7506034.249474748</v>
      </c>
      <c r="H423" s="26">
        <f t="shared" si="39"/>
        <v>6906034.249474748</v>
      </c>
      <c r="I423" s="26">
        <f t="shared" si="41"/>
        <v>17999.076990504749</v>
      </c>
      <c r="J423" s="26">
        <f t="shared" si="40"/>
        <v>3763425</v>
      </c>
      <c r="K423" s="2">
        <f t="shared" si="36"/>
        <v>3142609.249474748</v>
      </c>
    </row>
    <row r="424" spans="5:11" x14ac:dyDescent="0.25">
      <c r="E424">
        <v>0.41799999999999998</v>
      </c>
      <c r="F424" s="2">
        <f t="shared" si="37"/>
        <v>20900.092640481726</v>
      </c>
      <c r="G424" s="2">
        <f t="shared" si="38"/>
        <v>7524033.3505734215</v>
      </c>
      <c r="H424" s="26">
        <f t="shared" si="39"/>
        <v>6924033.3505734215</v>
      </c>
      <c r="I424" s="26">
        <f t="shared" si="41"/>
        <v>17999.101098673418</v>
      </c>
      <c r="J424" s="26">
        <f t="shared" si="40"/>
        <v>3772450</v>
      </c>
      <c r="K424" s="2">
        <f t="shared" si="36"/>
        <v>3151583.3505734215</v>
      </c>
    </row>
    <row r="425" spans="5:11" x14ac:dyDescent="0.25">
      <c r="E425">
        <v>0.41899999999999998</v>
      </c>
      <c r="F425" s="2">
        <f t="shared" si="37"/>
        <v>20950.090208762373</v>
      </c>
      <c r="G425" s="2">
        <f t="shared" si="38"/>
        <v>7542032.4751544539</v>
      </c>
      <c r="H425" s="26">
        <f t="shared" si="39"/>
        <v>6942032.4751544539</v>
      </c>
      <c r="I425" s="26">
        <f t="shared" si="41"/>
        <v>17999.124581032433</v>
      </c>
      <c r="J425" s="26">
        <f t="shared" si="40"/>
        <v>3781475</v>
      </c>
      <c r="K425" s="2">
        <f t="shared" si="36"/>
        <v>3160557.4751544539</v>
      </c>
    </row>
    <row r="426" spans="5:11" x14ac:dyDescent="0.25">
      <c r="E426">
        <v>0.42</v>
      </c>
      <c r="F426" s="2">
        <f t="shared" si="37"/>
        <v>21000.087840578213</v>
      </c>
      <c r="G426" s="2">
        <f t="shared" si="38"/>
        <v>7560031.6226081569</v>
      </c>
      <c r="H426" s="26">
        <f t="shared" si="39"/>
        <v>6960031.6226081569</v>
      </c>
      <c r="I426" s="26">
        <f t="shared" si="41"/>
        <v>17999.147453702986</v>
      </c>
      <c r="J426" s="26">
        <f t="shared" si="40"/>
        <v>3790500</v>
      </c>
      <c r="K426" s="2">
        <f t="shared" si="36"/>
        <v>3169531.6226081569</v>
      </c>
    </row>
    <row r="427" spans="5:11" x14ac:dyDescent="0.25">
      <c r="E427">
        <v>0.42099999999999999</v>
      </c>
      <c r="F427" s="2">
        <f t="shared" si="37"/>
        <v>21050.085534279278</v>
      </c>
      <c r="G427" s="2">
        <f t="shared" si="38"/>
        <v>7578030.7923405403</v>
      </c>
      <c r="H427" s="26">
        <f t="shared" si="39"/>
        <v>6978030.7923405403</v>
      </c>
      <c r="I427" s="26">
        <f t="shared" si="41"/>
        <v>17999.169732383452</v>
      </c>
      <c r="J427" s="26">
        <f t="shared" si="40"/>
        <v>3799525</v>
      </c>
      <c r="K427" s="2">
        <f t="shared" si="36"/>
        <v>3178505.7923405403</v>
      </c>
    </row>
    <row r="428" spans="5:11" x14ac:dyDescent="0.25">
      <c r="E428">
        <v>0.42199999999999999</v>
      </c>
      <c r="F428" s="2">
        <f t="shared" si="37"/>
        <v>21100.083288258102</v>
      </c>
      <c r="G428" s="2">
        <f t="shared" si="38"/>
        <v>7596029.9837729167</v>
      </c>
      <c r="H428" s="26">
        <f t="shared" si="39"/>
        <v>6996029.9837729167</v>
      </c>
      <c r="I428" s="26">
        <f t="shared" si="41"/>
        <v>17999.191432376392</v>
      </c>
      <c r="J428" s="26">
        <f t="shared" si="40"/>
        <v>3808550</v>
      </c>
      <c r="K428" s="2">
        <f t="shared" si="36"/>
        <v>3187479.9837729167</v>
      </c>
    </row>
    <row r="429" spans="5:11" x14ac:dyDescent="0.25">
      <c r="E429">
        <v>0.42299999999999999</v>
      </c>
      <c r="F429" s="2">
        <f t="shared" si="37"/>
        <v>21150.081100948646</v>
      </c>
      <c r="G429" s="2">
        <f t="shared" si="38"/>
        <v>7614029.1963415127</v>
      </c>
      <c r="H429" s="26">
        <f t="shared" si="39"/>
        <v>7014029.1963415127</v>
      </c>
      <c r="I429" s="26">
        <f t="shared" si="41"/>
        <v>17999.212568596005</v>
      </c>
      <c r="J429" s="26">
        <f t="shared" si="40"/>
        <v>3817575</v>
      </c>
      <c r="K429" s="2">
        <f t="shared" si="36"/>
        <v>3196454.1963415127</v>
      </c>
    </row>
    <row r="430" spans="5:11" x14ac:dyDescent="0.25">
      <c r="E430">
        <v>0.42399999999999999</v>
      </c>
      <c r="F430" s="2">
        <f t="shared" si="37"/>
        <v>21200.078970825252</v>
      </c>
      <c r="G430" s="2">
        <f t="shared" si="38"/>
        <v>7632028.4294970911</v>
      </c>
      <c r="H430" s="26">
        <f t="shared" si="39"/>
        <v>7032028.4294970911</v>
      </c>
      <c r="I430" s="26">
        <f t="shared" si="41"/>
        <v>17999.233155578375</v>
      </c>
      <c r="J430" s="26">
        <f t="shared" si="40"/>
        <v>3826600</v>
      </c>
      <c r="K430" s="2">
        <f t="shared" si="36"/>
        <v>3205428.4294970911</v>
      </c>
    </row>
    <row r="431" spans="5:11" x14ac:dyDescent="0.25">
      <c r="E431">
        <v>0.42499999999999999</v>
      </c>
      <c r="F431" s="2">
        <f t="shared" si="37"/>
        <v>21250.076896401577</v>
      </c>
      <c r="G431" s="2">
        <f t="shared" si="38"/>
        <v>7650027.6827045679</v>
      </c>
      <c r="H431" s="26">
        <f t="shared" si="39"/>
        <v>7050027.6827045679</v>
      </c>
      <c r="I431" s="26">
        <f t="shared" si="41"/>
        <v>17999.25320747681</v>
      </c>
      <c r="J431" s="26">
        <f t="shared" si="40"/>
        <v>3835625</v>
      </c>
      <c r="K431" s="2">
        <f t="shared" si="36"/>
        <v>3214402.6827045679</v>
      </c>
    </row>
    <row r="432" spans="5:11" x14ac:dyDescent="0.25">
      <c r="E432">
        <v>0.42599999999999999</v>
      </c>
      <c r="F432" s="2">
        <f t="shared" si="37"/>
        <v>21300.074876229628</v>
      </c>
      <c r="G432" s="2">
        <f t="shared" si="38"/>
        <v>7668026.9554426661</v>
      </c>
      <c r="H432" s="26">
        <f t="shared" si="39"/>
        <v>7068026.9554426661</v>
      </c>
      <c r="I432" s="26">
        <f t="shared" si="41"/>
        <v>17999.272738098167</v>
      </c>
      <c r="J432" s="26">
        <f t="shared" si="40"/>
        <v>3844650</v>
      </c>
      <c r="K432" s="2">
        <f t="shared" si="36"/>
        <v>3223376.9554426661</v>
      </c>
    </row>
    <row r="433" spans="5:11" x14ac:dyDescent="0.25">
      <c r="E433">
        <v>0.42699999999999999</v>
      </c>
      <c r="F433" s="2">
        <f t="shared" si="37"/>
        <v>21350.072908898765</v>
      </c>
      <c r="G433" s="2">
        <f t="shared" si="38"/>
        <v>7686026.247203555</v>
      </c>
      <c r="H433" s="26">
        <f t="shared" si="39"/>
        <v>7086026.247203555</v>
      </c>
      <c r="I433" s="26">
        <f t="shared" si="41"/>
        <v>17999.291760888882</v>
      </c>
      <c r="J433" s="26">
        <f t="shared" si="40"/>
        <v>3853675</v>
      </c>
      <c r="K433" s="2">
        <f t="shared" si="36"/>
        <v>3232351.247203555</v>
      </c>
    </row>
    <row r="434" spans="5:11" x14ac:dyDescent="0.25">
      <c r="E434">
        <v>0.42799999999999999</v>
      </c>
      <c r="F434" s="2">
        <f t="shared" si="37"/>
        <v>21400.070993034744</v>
      </c>
      <c r="G434" s="2">
        <f t="shared" si="38"/>
        <v>7704025.5574925076</v>
      </c>
      <c r="H434" s="26">
        <f t="shared" si="39"/>
        <v>7104025.5574925076</v>
      </c>
      <c r="I434" s="26">
        <f t="shared" si="41"/>
        <v>17999.310288952664</v>
      </c>
      <c r="J434" s="26">
        <f t="shared" si="40"/>
        <v>3862700</v>
      </c>
      <c r="K434" s="2">
        <f t="shared" si="36"/>
        <v>3241325.5574925076</v>
      </c>
    </row>
    <row r="435" spans="5:11" x14ac:dyDescent="0.25">
      <c r="E435">
        <v>0.42899999999999999</v>
      </c>
      <c r="F435" s="2">
        <f t="shared" si="37"/>
        <v>21450.069127298793</v>
      </c>
      <c r="G435" s="2">
        <f t="shared" si="38"/>
        <v>7722024.8858275656</v>
      </c>
      <c r="H435" s="26">
        <f t="shared" si="39"/>
        <v>7122024.8858275656</v>
      </c>
      <c r="I435" s="26">
        <f t="shared" si="41"/>
        <v>17999.328335057944</v>
      </c>
      <c r="J435" s="26">
        <f t="shared" si="40"/>
        <v>3871725</v>
      </c>
      <c r="K435" s="2">
        <f t="shared" si="36"/>
        <v>3250299.8858275656</v>
      </c>
    </row>
    <row r="436" spans="5:11" x14ac:dyDescent="0.25">
      <c r="E436">
        <v>0.43</v>
      </c>
      <c r="F436" s="2">
        <f t="shared" si="37"/>
        <v>21500.067310386719</v>
      </c>
      <c r="G436" s="2">
        <f t="shared" si="38"/>
        <v>7740024.2317392193</v>
      </c>
      <c r="H436" s="26">
        <f t="shared" si="39"/>
        <v>7140024.2317392193</v>
      </c>
      <c r="I436" s="26">
        <f t="shared" si="41"/>
        <v>17999.345911653712</v>
      </c>
      <c r="J436" s="26">
        <f t="shared" si="40"/>
        <v>3880750</v>
      </c>
      <c r="K436" s="2">
        <f t="shared" si="36"/>
        <v>3259274.2317392193</v>
      </c>
    </row>
    <row r="437" spans="5:11" x14ac:dyDescent="0.25">
      <c r="E437">
        <v>0.43099999999999999</v>
      </c>
      <c r="F437" s="2">
        <f t="shared" si="37"/>
        <v>21550.065541027991</v>
      </c>
      <c r="G437" s="2">
        <f t="shared" si="38"/>
        <v>7758023.5947700767</v>
      </c>
      <c r="H437" s="26">
        <f t="shared" si="39"/>
        <v>7158023.5947700767</v>
      </c>
      <c r="I437" s="26">
        <f t="shared" si="41"/>
        <v>17999.363030857407</v>
      </c>
      <c r="J437" s="26">
        <f t="shared" si="40"/>
        <v>3889775</v>
      </c>
      <c r="K437" s="2">
        <f t="shared" si="36"/>
        <v>3268248.5947700767</v>
      </c>
    </row>
    <row r="438" spans="5:11" x14ac:dyDescent="0.25">
      <c r="E438">
        <v>0.432</v>
      </c>
      <c r="F438" s="2">
        <f t="shared" si="37"/>
        <v>21600.063817984908</v>
      </c>
      <c r="G438" s="2">
        <f t="shared" si="38"/>
        <v>7776022.974474567</v>
      </c>
      <c r="H438" s="26">
        <f t="shared" si="39"/>
        <v>7176022.974474567</v>
      </c>
      <c r="I438" s="26">
        <f t="shared" si="41"/>
        <v>17999.379704490304</v>
      </c>
      <c r="J438" s="26">
        <f t="shared" si="40"/>
        <v>3898800</v>
      </c>
      <c r="K438" s="2">
        <f t="shared" si="36"/>
        <v>3277222.974474567</v>
      </c>
    </row>
    <row r="439" spans="5:11" x14ac:dyDescent="0.25">
      <c r="E439">
        <v>0.433</v>
      </c>
      <c r="F439" s="2">
        <f t="shared" si="37"/>
        <v>21650.062140051756</v>
      </c>
      <c r="G439" s="2">
        <f t="shared" si="38"/>
        <v>7794022.3704186324</v>
      </c>
      <c r="H439" s="26">
        <f t="shared" si="39"/>
        <v>7194022.3704186324</v>
      </c>
      <c r="I439" s="26">
        <f t="shared" si="41"/>
        <v>17999.395944065414</v>
      </c>
      <c r="J439" s="26">
        <f t="shared" si="40"/>
        <v>3907825</v>
      </c>
      <c r="K439" s="2">
        <f t="shared" si="36"/>
        <v>3286197.3704186324</v>
      </c>
    </row>
    <row r="440" spans="5:11" x14ac:dyDescent="0.25">
      <c r="E440">
        <v>0.434</v>
      </c>
      <c r="F440" s="2">
        <f t="shared" si="37"/>
        <v>21700.06050605396</v>
      </c>
      <c r="G440" s="2">
        <f t="shared" si="38"/>
        <v>7812021.7821794255</v>
      </c>
      <c r="H440" s="26">
        <f t="shared" si="39"/>
        <v>7212021.7821794255</v>
      </c>
      <c r="I440" s="26">
        <f t="shared" si="41"/>
        <v>17999.411760793068</v>
      </c>
      <c r="J440" s="26">
        <f t="shared" si="40"/>
        <v>3916850</v>
      </c>
      <c r="K440" s="2">
        <f t="shared" si="36"/>
        <v>3295171.7821794255</v>
      </c>
    </row>
    <row r="441" spans="5:11" x14ac:dyDescent="0.25">
      <c r="E441">
        <v>0.435</v>
      </c>
      <c r="F441" s="2">
        <f t="shared" si="37"/>
        <v>21750.058914847341</v>
      </c>
      <c r="G441" s="2">
        <f t="shared" si="38"/>
        <v>7830021.2093450427</v>
      </c>
      <c r="H441" s="26">
        <f t="shared" si="39"/>
        <v>7230021.2093450427</v>
      </c>
      <c r="I441" s="26">
        <f t="shared" si="41"/>
        <v>17999.427165617235</v>
      </c>
      <c r="J441" s="26">
        <f t="shared" si="40"/>
        <v>3925875</v>
      </c>
      <c r="K441" s="2">
        <f t="shared" si="36"/>
        <v>3304146.2093450427</v>
      </c>
    </row>
    <row r="442" spans="5:11" x14ac:dyDescent="0.25">
      <c r="E442">
        <v>0.436</v>
      </c>
      <c r="F442" s="2">
        <f t="shared" si="37"/>
        <v>21800.057365317283</v>
      </c>
      <c r="G442" s="2">
        <f t="shared" si="38"/>
        <v>7848020.6515142219</v>
      </c>
      <c r="H442" s="26">
        <f t="shared" si="39"/>
        <v>7248020.6515142219</v>
      </c>
      <c r="I442" s="26">
        <f t="shared" si="41"/>
        <v>17999.442169179209</v>
      </c>
      <c r="J442" s="26">
        <f t="shared" si="40"/>
        <v>3934900</v>
      </c>
      <c r="K442" s="2">
        <f t="shared" si="36"/>
        <v>3313120.6515142219</v>
      </c>
    </row>
    <row r="443" spans="5:11" x14ac:dyDescent="0.25">
      <c r="E443">
        <v>0.437</v>
      </c>
      <c r="F443" s="2">
        <f t="shared" si="37"/>
        <v>21850.055856378</v>
      </c>
      <c r="G443" s="2">
        <f t="shared" si="38"/>
        <v>7866020.1082960796</v>
      </c>
      <c r="H443" s="26">
        <f t="shared" si="39"/>
        <v>7266020.1082960796</v>
      </c>
      <c r="I443" s="26">
        <f t="shared" si="41"/>
        <v>17999.456781857647</v>
      </c>
      <c r="J443" s="26">
        <f t="shared" si="40"/>
        <v>3943925</v>
      </c>
      <c r="K443" s="2">
        <f t="shared" si="36"/>
        <v>3322095.1082960796</v>
      </c>
    </row>
    <row r="444" spans="5:11" x14ac:dyDescent="0.25">
      <c r="E444">
        <v>0.438</v>
      </c>
      <c r="F444" s="2">
        <f t="shared" si="37"/>
        <v>21900.054386971813</v>
      </c>
      <c r="G444" s="2">
        <f t="shared" si="38"/>
        <v>7884019.5793098528</v>
      </c>
      <c r="H444" s="26">
        <f t="shared" si="39"/>
        <v>7284019.5793098528</v>
      </c>
      <c r="I444" s="26">
        <f t="shared" si="41"/>
        <v>17999.471013773233</v>
      </c>
      <c r="J444" s="26">
        <f t="shared" si="40"/>
        <v>3952950</v>
      </c>
      <c r="K444" s="2">
        <f t="shared" si="36"/>
        <v>3331069.5793098528</v>
      </c>
    </row>
    <row r="445" spans="5:11" x14ac:dyDescent="0.25">
      <c r="E445">
        <v>0.439</v>
      </c>
      <c r="F445" s="2">
        <f t="shared" si="37"/>
        <v>21950.052956068401</v>
      </c>
      <c r="G445" s="2">
        <f t="shared" si="38"/>
        <v>7902019.0641846247</v>
      </c>
      <c r="H445" s="26">
        <f t="shared" si="39"/>
        <v>7302019.0641846247</v>
      </c>
      <c r="I445" s="26">
        <f t="shared" si="41"/>
        <v>17999.484874771908</v>
      </c>
      <c r="J445" s="26">
        <f t="shared" si="40"/>
        <v>3961975</v>
      </c>
      <c r="K445" s="2">
        <f t="shared" si="36"/>
        <v>3340044.0641846247</v>
      </c>
    </row>
    <row r="446" spans="5:11" x14ac:dyDescent="0.25">
      <c r="E446">
        <v>0.44</v>
      </c>
      <c r="F446" s="2">
        <f t="shared" si="37"/>
        <v>22000.05156266411</v>
      </c>
      <c r="G446" s="2">
        <f t="shared" si="38"/>
        <v>7920018.5625590794</v>
      </c>
      <c r="H446" s="26">
        <f t="shared" si="39"/>
        <v>7320018.5625590794</v>
      </c>
      <c r="I446" s="26">
        <f t="shared" si="41"/>
        <v>17999.498374454677</v>
      </c>
      <c r="J446" s="26">
        <f t="shared" si="40"/>
        <v>3971000</v>
      </c>
      <c r="K446" s="2">
        <f t="shared" si="36"/>
        <v>3349018.5625590794</v>
      </c>
    </row>
    <row r="447" spans="5:11" x14ac:dyDescent="0.25">
      <c r="E447">
        <v>0.441</v>
      </c>
      <c r="F447" s="2">
        <f t="shared" si="37"/>
        <v>22050.050205781266</v>
      </c>
      <c r="G447" s="2">
        <f t="shared" si="38"/>
        <v>7938018.0740812561</v>
      </c>
      <c r="H447" s="26">
        <f t="shared" si="39"/>
        <v>7338018.0740812561</v>
      </c>
      <c r="I447" s="26">
        <f t="shared" si="41"/>
        <v>17999.511522176675</v>
      </c>
      <c r="J447" s="26">
        <f t="shared" si="40"/>
        <v>3980025</v>
      </c>
      <c r="K447" s="2">
        <f t="shared" si="36"/>
        <v>3357993.0740812561</v>
      </c>
    </row>
    <row r="448" spans="5:11" x14ac:dyDescent="0.25">
      <c r="E448">
        <v>0.442</v>
      </c>
      <c r="F448" s="2">
        <f t="shared" si="37"/>
        <v>22100.048884467538</v>
      </c>
      <c r="G448" s="2">
        <f t="shared" si="38"/>
        <v>7956017.5984083135</v>
      </c>
      <c r="H448" s="26">
        <f t="shared" si="39"/>
        <v>7356017.5984083135</v>
      </c>
      <c r="I448" s="26">
        <f t="shared" si="41"/>
        <v>17999.524327057414</v>
      </c>
      <c r="J448" s="26">
        <f t="shared" si="40"/>
        <v>3989050</v>
      </c>
      <c r="K448" s="2">
        <f t="shared" si="36"/>
        <v>3366967.5984083135</v>
      </c>
    </row>
    <row r="449" spans="5:11" x14ac:dyDescent="0.25">
      <c r="E449">
        <v>0.443</v>
      </c>
      <c r="F449" s="2">
        <f t="shared" si="37"/>
        <v>22150.047597795223</v>
      </c>
      <c r="G449" s="2">
        <f t="shared" si="38"/>
        <v>7974017.1352062803</v>
      </c>
      <c r="H449" s="26">
        <f t="shared" si="39"/>
        <v>7374017.1352062803</v>
      </c>
      <c r="I449" s="26">
        <f t="shared" si="41"/>
        <v>17999.536797966808</v>
      </c>
      <c r="J449" s="26">
        <f t="shared" si="40"/>
        <v>3998075</v>
      </c>
      <c r="K449" s="2">
        <f t="shared" si="36"/>
        <v>3375942.1352062803</v>
      </c>
    </row>
    <row r="450" spans="5:11" x14ac:dyDescent="0.25">
      <c r="E450">
        <v>0.44400000000000001</v>
      </c>
      <c r="F450" s="2">
        <f t="shared" si="37"/>
        <v>22200.04634486069</v>
      </c>
      <c r="G450" s="2">
        <f t="shared" si="38"/>
        <v>7992016.6841498483</v>
      </c>
      <c r="H450" s="26">
        <f t="shared" si="39"/>
        <v>7392016.6841498483</v>
      </c>
      <c r="I450" s="26">
        <f t="shared" si="41"/>
        <v>17999.548943568021</v>
      </c>
      <c r="J450" s="26">
        <f t="shared" si="40"/>
        <v>4007100</v>
      </c>
      <c r="K450" s="2">
        <f t="shared" si="36"/>
        <v>3384916.6841498483</v>
      </c>
    </row>
    <row r="451" spans="5:11" x14ac:dyDescent="0.25">
      <c r="E451">
        <v>0.44500000000000001</v>
      </c>
      <c r="F451" s="2">
        <f t="shared" si="37"/>
        <v>22250.045124783705</v>
      </c>
      <c r="G451" s="2">
        <f t="shared" si="38"/>
        <v>8010016.2449221332</v>
      </c>
      <c r="H451" s="26">
        <f t="shared" si="39"/>
        <v>7410016.2449221332</v>
      </c>
      <c r="I451" s="26">
        <f t="shared" si="41"/>
        <v>17999.560772284865</v>
      </c>
      <c r="J451" s="26">
        <f t="shared" si="40"/>
        <v>4016125</v>
      </c>
      <c r="K451" s="2">
        <f t="shared" si="36"/>
        <v>3393891.2449221332</v>
      </c>
    </row>
    <row r="452" spans="5:11" x14ac:dyDescent="0.25">
      <c r="E452">
        <v>0.44600000000000001</v>
      </c>
      <c r="F452" s="2">
        <f t="shared" si="37"/>
        <v>22300.043936706843</v>
      </c>
      <c r="G452" s="2">
        <f t="shared" si="38"/>
        <v>8028015.8172144638</v>
      </c>
      <c r="H452" s="26">
        <f t="shared" si="39"/>
        <v>7428015.8172144638</v>
      </c>
      <c r="I452" s="26">
        <f t="shared" si="41"/>
        <v>17999.572292330675</v>
      </c>
      <c r="J452" s="26">
        <f t="shared" si="40"/>
        <v>4025150</v>
      </c>
      <c r="K452" s="2">
        <f t="shared" si="36"/>
        <v>3402865.8172144638</v>
      </c>
    </row>
    <row r="453" spans="5:11" x14ac:dyDescent="0.25">
      <c r="E453">
        <v>0.44700000000000001</v>
      </c>
      <c r="F453" s="2">
        <f t="shared" si="37"/>
        <v>22350.042779794927</v>
      </c>
      <c r="G453" s="2">
        <f t="shared" si="38"/>
        <v>8046015.400726174</v>
      </c>
      <c r="H453" s="26">
        <f t="shared" si="39"/>
        <v>7446015.400726174</v>
      </c>
      <c r="I453" s="26">
        <f t="shared" si="41"/>
        <v>17999.583511710167</v>
      </c>
      <c r="J453" s="26">
        <f t="shared" si="40"/>
        <v>4034175</v>
      </c>
      <c r="K453" s="2">
        <f t="shared" si="36"/>
        <v>3411840.400726174</v>
      </c>
    </row>
    <row r="454" spans="5:11" x14ac:dyDescent="0.25">
      <c r="E454">
        <v>0.44800000000000001</v>
      </c>
      <c r="F454" s="2">
        <f t="shared" si="37"/>
        <v>22400.041653234435</v>
      </c>
      <c r="G454" s="2">
        <f t="shared" si="38"/>
        <v>8064014.9951643962</v>
      </c>
      <c r="H454" s="26">
        <f t="shared" si="39"/>
        <v>7464014.9951643962</v>
      </c>
      <c r="I454" s="26">
        <f t="shared" si="41"/>
        <v>17999.594438222237</v>
      </c>
      <c r="J454" s="26">
        <f t="shared" si="40"/>
        <v>4043200</v>
      </c>
      <c r="K454" s="2">
        <f t="shared" ref="K454:K517" si="42">H454-J454</f>
        <v>3420814.9951643962</v>
      </c>
    </row>
    <row r="455" spans="5:11" x14ac:dyDescent="0.25">
      <c r="E455">
        <v>0.44900000000000001</v>
      </c>
      <c r="F455" s="2">
        <f t="shared" ref="F455:F518" si="43">PMT(E455/12,$C$7,-$C$6,0,0)</f>
        <v>22450.040556232929</v>
      </c>
      <c r="G455" s="2">
        <f t="shared" ref="G455:G518" si="44">360*F455</f>
        <v>8082014.6002438543</v>
      </c>
      <c r="H455" s="26">
        <f t="shared" ref="H455:H518" si="45">360*F455-$C$6</f>
        <v>7482014.6002438543</v>
      </c>
      <c r="I455" s="26">
        <f t="shared" si="41"/>
        <v>17999.605079458095</v>
      </c>
      <c r="J455" s="26">
        <f t="shared" ref="J455:J518" si="46">$C$6*E455/12*($C$7+1)/2</f>
        <v>4052225</v>
      </c>
      <c r="K455" s="2">
        <f t="shared" si="42"/>
        <v>3429789.6002438543</v>
      </c>
    </row>
    <row r="456" spans="5:11" x14ac:dyDescent="0.25">
      <c r="E456">
        <v>0.45</v>
      </c>
      <c r="F456" s="2">
        <f t="shared" si="43"/>
        <v>22500.039488018545</v>
      </c>
      <c r="G456" s="2">
        <f t="shared" si="44"/>
        <v>8100014.2156866761</v>
      </c>
      <c r="H456" s="26">
        <f t="shared" si="45"/>
        <v>7500014.2156866761</v>
      </c>
      <c r="I456" s="26">
        <f t="shared" si="41"/>
        <v>17999.615442821756</v>
      </c>
      <c r="J456" s="26">
        <f t="shared" si="46"/>
        <v>4061250</v>
      </c>
      <c r="K456" s="2">
        <f t="shared" si="42"/>
        <v>3438764.2156866761</v>
      </c>
    </row>
    <row r="457" spans="5:11" x14ac:dyDescent="0.25">
      <c r="E457">
        <v>0.45100000000000001</v>
      </c>
      <c r="F457" s="2">
        <f t="shared" si="43"/>
        <v>22550.038447839455</v>
      </c>
      <c r="G457" s="2">
        <f t="shared" si="44"/>
        <v>8118013.8412222043</v>
      </c>
      <c r="H457" s="26">
        <f t="shared" si="45"/>
        <v>7518013.8412222043</v>
      </c>
      <c r="I457" s="26">
        <f t="shared" ref="I457:I520" si="47">H457-H456</f>
        <v>17999.625535528176</v>
      </c>
      <c r="J457" s="26">
        <f t="shared" si="46"/>
        <v>4070275</v>
      </c>
      <c r="K457" s="2">
        <f t="shared" si="42"/>
        <v>3447738.8412222043</v>
      </c>
    </row>
    <row r="458" spans="5:11" x14ac:dyDescent="0.25">
      <c r="E458">
        <v>0.45200000000000001</v>
      </c>
      <c r="F458" s="2">
        <f t="shared" si="43"/>
        <v>22600.03743496332</v>
      </c>
      <c r="G458" s="2">
        <f t="shared" si="44"/>
        <v>8136013.4765867954</v>
      </c>
      <c r="H458" s="26">
        <f t="shared" si="45"/>
        <v>7536013.4765867954</v>
      </c>
      <c r="I458" s="26">
        <f t="shared" si="47"/>
        <v>17999.635364591144</v>
      </c>
      <c r="J458" s="26">
        <f t="shared" si="46"/>
        <v>4079300</v>
      </c>
      <c r="K458" s="2">
        <f t="shared" si="42"/>
        <v>3456713.4765867954</v>
      </c>
    </row>
    <row r="459" spans="5:11" x14ac:dyDescent="0.25">
      <c r="E459">
        <v>0.45300000000000001</v>
      </c>
      <c r="F459" s="2">
        <f t="shared" si="43"/>
        <v>22650.036448676827</v>
      </c>
      <c r="G459" s="2">
        <f t="shared" si="44"/>
        <v>8154013.1215236578</v>
      </c>
      <c r="H459" s="26">
        <f t="shared" si="45"/>
        <v>7554013.1215236578</v>
      </c>
      <c r="I459" s="26">
        <f t="shared" si="47"/>
        <v>17999.644936862402</v>
      </c>
      <c r="J459" s="26">
        <f t="shared" si="46"/>
        <v>4088325</v>
      </c>
      <c r="K459" s="2">
        <f t="shared" si="42"/>
        <v>3465688.1215236578</v>
      </c>
    </row>
    <row r="460" spans="5:11" x14ac:dyDescent="0.25">
      <c r="E460">
        <v>0.45400000000000001</v>
      </c>
      <c r="F460" s="2">
        <f t="shared" si="43"/>
        <v>22700.035488285193</v>
      </c>
      <c r="G460" s="2">
        <f t="shared" si="44"/>
        <v>8172012.7757826699</v>
      </c>
      <c r="H460" s="26">
        <f t="shared" si="45"/>
        <v>7572012.7757826699</v>
      </c>
      <c r="I460" s="26">
        <f t="shared" si="47"/>
        <v>17999.654259012081</v>
      </c>
      <c r="J460" s="26">
        <f t="shared" si="46"/>
        <v>4097350</v>
      </c>
      <c r="K460" s="2">
        <f t="shared" si="42"/>
        <v>3474662.7757826699</v>
      </c>
    </row>
    <row r="461" spans="5:11" x14ac:dyDescent="0.25">
      <c r="E461">
        <v>0.45500000000000002</v>
      </c>
      <c r="F461" s="2">
        <f t="shared" si="43"/>
        <v>22750.034553111662</v>
      </c>
      <c r="G461" s="2">
        <f t="shared" si="44"/>
        <v>8190012.4391201986</v>
      </c>
      <c r="H461" s="26">
        <f t="shared" si="45"/>
        <v>7590012.4391201986</v>
      </c>
      <c r="I461" s="26">
        <f t="shared" si="47"/>
        <v>17999.663337528706</v>
      </c>
      <c r="J461" s="26">
        <f t="shared" si="46"/>
        <v>4106375</v>
      </c>
      <c r="K461" s="2">
        <f t="shared" si="42"/>
        <v>3483637.4391201986</v>
      </c>
    </row>
    <row r="462" spans="5:11" x14ac:dyDescent="0.25">
      <c r="E462">
        <v>0.45600000000000002</v>
      </c>
      <c r="F462" s="2">
        <f t="shared" si="43"/>
        <v>22800.033642497077</v>
      </c>
      <c r="G462" s="2">
        <f t="shared" si="44"/>
        <v>8208012.1112989476</v>
      </c>
      <c r="H462" s="26">
        <f t="shared" si="45"/>
        <v>7608012.1112989476</v>
      </c>
      <c r="I462" s="26">
        <f t="shared" si="47"/>
        <v>17999.672178748995</v>
      </c>
      <c r="J462" s="26">
        <f t="shared" si="46"/>
        <v>4115400</v>
      </c>
      <c r="K462" s="2">
        <f t="shared" si="42"/>
        <v>3492612.1112989476</v>
      </c>
    </row>
    <row r="463" spans="5:11" x14ac:dyDescent="0.25">
      <c r="E463">
        <v>0.45700000000000002</v>
      </c>
      <c r="F463" s="2">
        <f t="shared" si="43"/>
        <v>22850.032755799391</v>
      </c>
      <c r="G463" s="2">
        <f t="shared" si="44"/>
        <v>8226011.7920877812</v>
      </c>
      <c r="H463" s="26">
        <f t="shared" si="45"/>
        <v>7626011.7920877812</v>
      </c>
      <c r="I463" s="26">
        <f t="shared" si="47"/>
        <v>17999.680788833648</v>
      </c>
      <c r="J463" s="26">
        <f t="shared" si="46"/>
        <v>4124425</v>
      </c>
      <c r="K463" s="2">
        <f t="shared" si="42"/>
        <v>3501586.7920877812</v>
      </c>
    </row>
    <row r="464" spans="5:11" x14ac:dyDescent="0.25">
      <c r="E464">
        <v>0.45800000000000002</v>
      </c>
      <c r="F464" s="2">
        <f t="shared" si="43"/>
        <v>22900.031892393254</v>
      </c>
      <c r="G464" s="2">
        <f t="shared" si="44"/>
        <v>8244011.4812615709</v>
      </c>
      <c r="H464" s="26">
        <f t="shared" si="45"/>
        <v>7644011.4812615709</v>
      </c>
      <c r="I464" s="26">
        <f t="shared" si="47"/>
        <v>17999.689173789695</v>
      </c>
      <c r="J464" s="26">
        <f t="shared" si="46"/>
        <v>4133450</v>
      </c>
      <c r="K464" s="2">
        <f t="shared" si="42"/>
        <v>3510561.4812615709</v>
      </c>
    </row>
    <row r="465" spans="5:11" x14ac:dyDescent="0.25">
      <c r="E465">
        <v>0.45900000000000002</v>
      </c>
      <c r="F465" s="2">
        <f t="shared" si="43"/>
        <v>22950.031051669568</v>
      </c>
      <c r="G465" s="2">
        <f t="shared" si="44"/>
        <v>8262011.1786010442</v>
      </c>
      <c r="H465" s="26">
        <f t="shared" si="45"/>
        <v>7662011.1786010442</v>
      </c>
      <c r="I465" s="26">
        <f t="shared" si="47"/>
        <v>17999.697339473292</v>
      </c>
      <c r="J465" s="26">
        <f t="shared" si="46"/>
        <v>4142475</v>
      </c>
      <c r="K465" s="2">
        <f t="shared" si="42"/>
        <v>3519536.1786010442</v>
      </c>
    </row>
    <row r="466" spans="5:11" x14ac:dyDescent="0.25">
      <c r="E466">
        <v>0.46</v>
      </c>
      <c r="F466" s="2">
        <f t="shared" si="43"/>
        <v>23000.030233035064</v>
      </c>
      <c r="G466" s="2">
        <f t="shared" si="44"/>
        <v>8280010.8838926228</v>
      </c>
      <c r="H466" s="26">
        <f t="shared" si="45"/>
        <v>7680010.8838926228</v>
      </c>
      <c r="I466" s="26">
        <f t="shared" si="47"/>
        <v>17999.705291578546</v>
      </c>
      <c r="J466" s="26">
        <f t="shared" si="46"/>
        <v>4151500</v>
      </c>
      <c r="K466" s="2">
        <f t="shared" si="42"/>
        <v>3528510.8838926228</v>
      </c>
    </row>
    <row r="467" spans="5:11" x14ac:dyDescent="0.25">
      <c r="E467">
        <v>0.46100000000000002</v>
      </c>
      <c r="F467" s="2">
        <f t="shared" si="43"/>
        <v>23050.029435911903</v>
      </c>
      <c r="G467" s="2">
        <f t="shared" si="44"/>
        <v>8298010.5969282854</v>
      </c>
      <c r="H467" s="26">
        <f t="shared" si="45"/>
        <v>7698010.5969282854</v>
      </c>
      <c r="I467" s="26">
        <f t="shared" si="47"/>
        <v>17999.713035662659</v>
      </c>
      <c r="J467" s="26">
        <f t="shared" si="46"/>
        <v>4160525</v>
      </c>
      <c r="K467" s="2">
        <f t="shared" si="42"/>
        <v>3537485.5969282854</v>
      </c>
    </row>
    <row r="468" spans="5:11" x14ac:dyDescent="0.25">
      <c r="E468">
        <v>0.46200000000000002</v>
      </c>
      <c r="F468" s="2">
        <f t="shared" si="43"/>
        <v>23100.028659737291</v>
      </c>
      <c r="G468" s="2">
        <f t="shared" si="44"/>
        <v>8316010.3175054248</v>
      </c>
      <c r="H468" s="26">
        <f t="shared" si="45"/>
        <v>7716010.3175054248</v>
      </c>
      <c r="I468" s="26">
        <f t="shared" si="47"/>
        <v>17999.720577139407</v>
      </c>
      <c r="J468" s="26">
        <f t="shared" si="46"/>
        <v>4169550</v>
      </c>
      <c r="K468" s="2">
        <f t="shared" si="42"/>
        <v>3546460.3175054248</v>
      </c>
    </row>
    <row r="469" spans="5:11" x14ac:dyDescent="0.25">
      <c r="E469">
        <v>0.46300000000000002</v>
      </c>
      <c r="F469" s="2">
        <f t="shared" si="43"/>
        <v>23150.027903963055</v>
      </c>
      <c r="G469" s="2">
        <f t="shared" si="44"/>
        <v>8334010.0454267003</v>
      </c>
      <c r="H469" s="26">
        <f t="shared" si="45"/>
        <v>7734010.0454267003</v>
      </c>
      <c r="I469" s="26">
        <f t="shared" si="47"/>
        <v>17999.727921275422</v>
      </c>
      <c r="J469" s="26">
        <f t="shared" si="46"/>
        <v>4178575</v>
      </c>
      <c r="K469" s="2">
        <f t="shared" si="42"/>
        <v>3555435.0454267003</v>
      </c>
    </row>
    <row r="470" spans="5:11" x14ac:dyDescent="0.25">
      <c r="E470">
        <v>0.46400000000000002</v>
      </c>
      <c r="F470" s="2">
        <f t="shared" si="43"/>
        <v>23200.027168055287</v>
      </c>
      <c r="G470" s="2">
        <f t="shared" si="44"/>
        <v>8352009.7804999035</v>
      </c>
      <c r="H470" s="26">
        <f t="shared" si="45"/>
        <v>7752009.7804999035</v>
      </c>
      <c r="I470" s="26">
        <f t="shared" si="47"/>
        <v>17999.735073203221</v>
      </c>
      <c r="J470" s="26">
        <f t="shared" si="46"/>
        <v>4187600</v>
      </c>
      <c r="K470" s="2">
        <f t="shared" si="42"/>
        <v>3564409.7804999035</v>
      </c>
    </row>
    <row r="471" spans="5:11" x14ac:dyDescent="0.25">
      <c r="E471">
        <v>0.46500000000000002</v>
      </c>
      <c r="F471" s="2">
        <f t="shared" si="43"/>
        <v>23250.026451493984</v>
      </c>
      <c r="G471" s="2">
        <f t="shared" si="44"/>
        <v>8370009.522537834</v>
      </c>
      <c r="H471" s="26">
        <f t="shared" si="45"/>
        <v>7770009.522537834</v>
      </c>
      <c r="I471" s="26">
        <f t="shared" si="47"/>
        <v>17999.742037930526</v>
      </c>
      <c r="J471" s="26">
        <f t="shared" si="46"/>
        <v>4196625</v>
      </c>
      <c r="K471" s="2">
        <f t="shared" si="42"/>
        <v>3573384.522537834</v>
      </c>
    </row>
    <row r="472" spans="5:11" x14ac:dyDescent="0.25">
      <c r="E472">
        <v>0.46600000000000003</v>
      </c>
      <c r="F472" s="2">
        <f t="shared" si="43"/>
        <v>23300.025753772683</v>
      </c>
      <c r="G472" s="2">
        <f t="shared" si="44"/>
        <v>8388009.2713581659</v>
      </c>
      <c r="H472" s="26">
        <f t="shared" si="45"/>
        <v>7788009.2713581659</v>
      </c>
      <c r="I472" s="26">
        <f t="shared" si="47"/>
        <v>17999.748820331879</v>
      </c>
      <c r="J472" s="26">
        <f t="shared" si="46"/>
        <v>4205650</v>
      </c>
      <c r="K472" s="2">
        <f t="shared" si="42"/>
        <v>3582359.2713581659</v>
      </c>
    </row>
    <row r="473" spans="5:11" x14ac:dyDescent="0.25">
      <c r="E473">
        <v>0.46700000000000003</v>
      </c>
      <c r="F473" s="2">
        <f t="shared" si="43"/>
        <v>23350.025074398087</v>
      </c>
      <c r="G473" s="2">
        <f t="shared" si="44"/>
        <v>8406009.0267833117</v>
      </c>
      <c r="H473" s="26">
        <f t="shared" si="45"/>
        <v>7806009.0267833117</v>
      </c>
      <c r="I473" s="26">
        <f t="shared" si="47"/>
        <v>17999.75542514585</v>
      </c>
      <c r="J473" s="26">
        <f t="shared" si="46"/>
        <v>4214675</v>
      </c>
      <c r="K473" s="2">
        <f t="shared" si="42"/>
        <v>3591334.0267833117</v>
      </c>
    </row>
    <row r="474" spans="5:11" x14ac:dyDescent="0.25">
      <c r="E474">
        <v>0.46800000000000003</v>
      </c>
      <c r="F474" s="2">
        <f t="shared" si="43"/>
        <v>23400.024412889754</v>
      </c>
      <c r="G474" s="2">
        <f t="shared" si="44"/>
        <v>8424008.788640311</v>
      </c>
      <c r="H474" s="26">
        <f t="shared" si="45"/>
        <v>7824008.788640311</v>
      </c>
      <c r="I474" s="26">
        <f t="shared" si="47"/>
        <v>17999.761856999248</v>
      </c>
      <c r="J474" s="26">
        <f t="shared" si="46"/>
        <v>4223700</v>
      </c>
      <c r="K474" s="2">
        <f t="shared" si="42"/>
        <v>3600308.788640311</v>
      </c>
    </row>
    <row r="475" spans="5:11" x14ac:dyDescent="0.25">
      <c r="E475">
        <v>0.46899999999999997</v>
      </c>
      <c r="F475" s="2">
        <f t="shared" si="43"/>
        <v>23450.023768779763</v>
      </c>
      <c r="G475" s="2">
        <f t="shared" si="44"/>
        <v>8442008.5567607153</v>
      </c>
      <c r="H475" s="26">
        <f t="shared" si="45"/>
        <v>7842008.5567607153</v>
      </c>
      <c r="I475" s="26">
        <f t="shared" si="47"/>
        <v>17999.768120404333</v>
      </c>
      <c r="J475" s="26">
        <f t="shared" si="46"/>
        <v>4232725</v>
      </c>
      <c r="K475" s="2">
        <f t="shared" si="42"/>
        <v>3609283.5567607153</v>
      </c>
    </row>
    <row r="476" spans="5:11" x14ac:dyDescent="0.25">
      <c r="E476">
        <v>0.47</v>
      </c>
      <c r="F476" s="2">
        <f t="shared" si="43"/>
        <v>23500.023141612368</v>
      </c>
      <c r="G476" s="2">
        <f t="shared" si="44"/>
        <v>8460008.3309804518</v>
      </c>
      <c r="H476" s="26">
        <f t="shared" si="45"/>
        <v>7860008.3309804518</v>
      </c>
      <c r="I476" s="26">
        <f t="shared" si="47"/>
        <v>17999.774219736457</v>
      </c>
      <c r="J476" s="26">
        <f t="shared" si="46"/>
        <v>4241750</v>
      </c>
      <c r="K476" s="2">
        <f t="shared" si="42"/>
        <v>3618258.3309804518</v>
      </c>
    </row>
    <row r="477" spans="5:11" x14ac:dyDescent="0.25">
      <c r="E477">
        <v>0.47099999999999997</v>
      </c>
      <c r="F477" s="2">
        <f t="shared" si="43"/>
        <v>23550.022530943723</v>
      </c>
      <c r="G477" s="2">
        <f t="shared" si="44"/>
        <v>8478008.1111397408</v>
      </c>
      <c r="H477" s="26">
        <f t="shared" si="45"/>
        <v>7878008.1111397408</v>
      </c>
      <c r="I477" s="26">
        <f t="shared" si="47"/>
        <v>17999.780159289017</v>
      </c>
      <c r="J477" s="26">
        <f t="shared" si="46"/>
        <v>4250775</v>
      </c>
      <c r="K477" s="2">
        <f t="shared" si="42"/>
        <v>3627233.1111397408</v>
      </c>
    </row>
    <row r="478" spans="5:11" x14ac:dyDescent="0.25">
      <c r="E478">
        <v>0.47199999999999998</v>
      </c>
      <c r="F478" s="2">
        <f t="shared" si="43"/>
        <v>23600.021936341509</v>
      </c>
      <c r="G478" s="2">
        <f t="shared" si="44"/>
        <v>8496007.8970829435</v>
      </c>
      <c r="H478" s="26">
        <f t="shared" si="45"/>
        <v>7896007.8970829435</v>
      </c>
      <c r="I478" s="26">
        <f t="shared" si="47"/>
        <v>17999.785943202674</v>
      </c>
      <c r="J478" s="26">
        <f t="shared" si="46"/>
        <v>4259800</v>
      </c>
      <c r="K478" s="2">
        <f t="shared" si="42"/>
        <v>3636207.8970829435</v>
      </c>
    </row>
    <row r="479" spans="5:11" x14ac:dyDescent="0.25">
      <c r="E479">
        <v>0.47299999999999998</v>
      </c>
      <c r="F479" s="2">
        <f t="shared" si="43"/>
        <v>23650.021357384707</v>
      </c>
      <c r="G479" s="2">
        <f t="shared" si="44"/>
        <v>8514007.6886584945</v>
      </c>
      <c r="H479" s="26">
        <f t="shared" si="45"/>
        <v>7914007.6886584945</v>
      </c>
      <c r="I479" s="26">
        <f t="shared" si="47"/>
        <v>17999.791575551033</v>
      </c>
      <c r="J479" s="26">
        <f t="shared" si="46"/>
        <v>4268825</v>
      </c>
      <c r="K479" s="2">
        <f t="shared" si="42"/>
        <v>3645182.6886584945</v>
      </c>
    </row>
    <row r="480" spans="5:11" x14ac:dyDescent="0.25">
      <c r="E480">
        <v>0.47399999999999998</v>
      </c>
      <c r="F480" s="2">
        <f t="shared" si="43"/>
        <v>23700.020793663269</v>
      </c>
      <c r="G480" s="2">
        <f t="shared" si="44"/>
        <v>8532007.4857187774</v>
      </c>
      <c r="H480" s="26">
        <f t="shared" si="45"/>
        <v>7932007.4857187774</v>
      </c>
      <c r="I480" s="26">
        <f t="shared" si="47"/>
        <v>17999.797060282901</v>
      </c>
      <c r="J480" s="26">
        <f t="shared" si="46"/>
        <v>4277850</v>
      </c>
      <c r="K480" s="2">
        <f t="shared" si="42"/>
        <v>3654157.4857187774</v>
      </c>
    </row>
    <row r="481" spans="5:11" x14ac:dyDescent="0.25">
      <c r="E481">
        <v>0.47499999999999998</v>
      </c>
      <c r="F481" s="2">
        <f t="shared" si="43"/>
        <v>23750.020244777821</v>
      </c>
      <c r="G481" s="2">
        <f t="shared" si="44"/>
        <v>8550007.2881200165</v>
      </c>
      <c r="H481" s="26">
        <f t="shared" si="45"/>
        <v>7950007.2881200165</v>
      </c>
      <c r="I481" s="26">
        <f t="shared" si="47"/>
        <v>17999.802401239052</v>
      </c>
      <c r="J481" s="26">
        <f t="shared" si="46"/>
        <v>4286875</v>
      </c>
      <c r="K481" s="2">
        <f t="shared" si="42"/>
        <v>3663132.2881200165</v>
      </c>
    </row>
    <row r="482" spans="5:11" x14ac:dyDescent="0.25">
      <c r="E482">
        <v>0.47599999999999998</v>
      </c>
      <c r="F482" s="2">
        <f t="shared" si="43"/>
        <v>23800.019710339424</v>
      </c>
      <c r="G482" s="2">
        <f t="shared" si="44"/>
        <v>8568007.0957221929</v>
      </c>
      <c r="H482" s="26">
        <f t="shared" si="45"/>
        <v>7968007.0957221929</v>
      </c>
      <c r="I482" s="26">
        <f t="shared" si="47"/>
        <v>17999.807602176443</v>
      </c>
      <c r="J482" s="26">
        <f t="shared" si="46"/>
        <v>4295900</v>
      </c>
      <c r="K482" s="2">
        <f t="shared" si="42"/>
        <v>3672107.0957221929</v>
      </c>
    </row>
    <row r="483" spans="5:11" x14ac:dyDescent="0.25">
      <c r="E483">
        <v>0.47699999999999998</v>
      </c>
      <c r="F483" s="2">
        <f t="shared" si="43"/>
        <v>23850.01918996928</v>
      </c>
      <c r="G483" s="2">
        <f t="shared" si="44"/>
        <v>8586006.9083889406</v>
      </c>
      <c r="H483" s="26">
        <f t="shared" si="45"/>
        <v>7986006.9083889406</v>
      </c>
      <c r="I483" s="26">
        <f t="shared" si="47"/>
        <v>17999.812666747719</v>
      </c>
      <c r="J483" s="26">
        <f t="shared" si="46"/>
        <v>4304925</v>
      </c>
      <c r="K483" s="2">
        <f t="shared" si="42"/>
        <v>3681081.9083889406</v>
      </c>
    </row>
    <row r="484" spans="5:11" x14ac:dyDescent="0.25">
      <c r="E484">
        <v>0.47799999999999998</v>
      </c>
      <c r="F484" s="2">
        <f t="shared" si="43"/>
        <v>23900.018683298462</v>
      </c>
      <c r="G484" s="2">
        <f t="shared" si="44"/>
        <v>8604006.7259874456</v>
      </c>
      <c r="H484" s="26">
        <f t="shared" si="45"/>
        <v>8004006.7259874456</v>
      </c>
      <c r="I484" s="26">
        <f t="shared" si="47"/>
        <v>17999.817598504946</v>
      </c>
      <c r="J484" s="26">
        <f t="shared" si="46"/>
        <v>4313950</v>
      </c>
      <c r="K484" s="2">
        <f t="shared" si="42"/>
        <v>3690056.7259874456</v>
      </c>
    </row>
    <row r="485" spans="5:11" x14ac:dyDescent="0.25">
      <c r="E485">
        <v>0.47899999999999998</v>
      </c>
      <c r="F485" s="2">
        <f t="shared" si="43"/>
        <v>23950.018189967675</v>
      </c>
      <c r="G485" s="2">
        <f t="shared" si="44"/>
        <v>8622006.5483883638</v>
      </c>
      <c r="H485" s="26">
        <f t="shared" si="45"/>
        <v>8022006.5483883638</v>
      </c>
      <c r="I485" s="26">
        <f t="shared" si="47"/>
        <v>17999.82240091823</v>
      </c>
      <c r="J485" s="26">
        <f t="shared" si="46"/>
        <v>4322975</v>
      </c>
      <c r="K485" s="2">
        <f t="shared" si="42"/>
        <v>3699031.5483883638</v>
      </c>
    </row>
    <row r="486" spans="5:11" x14ac:dyDescent="0.25">
      <c r="E486">
        <v>0.48</v>
      </c>
      <c r="F486" s="2">
        <f t="shared" si="43"/>
        <v>24000.017709627016</v>
      </c>
      <c r="G486" s="2">
        <f t="shared" si="44"/>
        <v>8640006.3754657265</v>
      </c>
      <c r="H486" s="26">
        <f t="shared" si="45"/>
        <v>8040006.3754657265</v>
      </c>
      <c r="I486" s="26">
        <f t="shared" si="47"/>
        <v>17999.827077362686</v>
      </c>
      <c r="J486" s="26">
        <f t="shared" si="46"/>
        <v>4332000</v>
      </c>
      <c r="K486" s="2">
        <f t="shared" si="42"/>
        <v>3708006.3754657265</v>
      </c>
    </row>
    <row r="487" spans="5:11" x14ac:dyDescent="0.25">
      <c r="E487">
        <v>0.48099999999999998</v>
      </c>
      <c r="F487" s="2">
        <f t="shared" si="43"/>
        <v>24050.017241935693</v>
      </c>
      <c r="G487" s="2">
        <f t="shared" si="44"/>
        <v>8658006.2070968486</v>
      </c>
      <c r="H487" s="26">
        <f t="shared" si="45"/>
        <v>8058006.2070968486</v>
      </c>
      <c r="I487" s="26">
        <f t="shared" si="47"/>
        <v>17999.831631122157</v>
      </c>
      <c r="J487" s="26">
        <f t="shared" si="46"/>
        <v>4341025</v>
      </c>
      <c r="K487" s="2">
        <f t="shared" si="42"/>
        <v>3716981.2070968486</v>
      </c>
    </row>
    <row r="488" spans="5:11" x14ac:dyDescent="0.25">
      <c r="E488">
        <v>0.48199999999999998</v>
      </c>
      <c r="F488" s="2">
        <f t="shared" si="43"/>
        <v>24100.016786561813</v>
      </c>
      <c r="G488" s="2">
        <f t="shared" si="44"/>
        <v>8676006.0431622528</v>
      </c>
      <c r="H488" s="26">
        <f t="shared" si="45"/>
        <v>8076006.0431622528</v>
      </c>
      <c r="I488" s="26">
        <f t="shared" si="47"/>
        <v>17999.836065404117</v>
      </c>
      <c r="J488" s="26">
        <f t="shared" si="46"/>
        <v>4350050</v>
      </c>
      <c r="K488" s="2">
        <f t="shared" si="42"/>
        <v>3725956.0431622528</v>
      </c>
    </row>
    <row r="489" spans="5:11" x14ac:dyDescent="0.25">
      <c r="E489">
        <v>0.48299999999999998</v>
      </c>
      <c r="F489" s="2">
        <f t="shared" si="43"/>
        <v>24150.016343182167</v>
      </c>
      <c r="G489" s="2">
        <f t="shared" si="44"/>
        <v>8694005.8835455794</v>
      </c>
      <c r="H489" s="26">
        <f t="shared" si="45"/>
        <v>8094005.8835455794</v>
      </c>
      <c r="I489" s="26">
        <f t="shared" si="47"/>
        <v>17999.840383326635</v>
      </c>
      <c r="J489" s="26">
        <f t="shared" si="46"/>
        <v>4359075</v>
      </c>
      <c r="K489" s="2">
        <f t="shared" si="42"/>
        <v>3734930.8835455794</v>
      </c>
    </row>
    <row r="490" spans="5:11" x14ac:dyDescent="0.25">
      <c r="E490">
        <v>0.48399999999999999</v>
      </c>
      <c r="F490" s="2">
        <f t="shared" si="43"/>
        <v>24200.015911481973</v>
      </c>
      <c r="G490" s="2">
        <f t="shared" si="44"/>
        <v>8712005.7281335108</v>
      </c>
      <c r="H490" s="26">
        <f t="shared" si="45"/>
        <v>8112005.7281335108</v>
      </c>
      <c r="I490" s="26">
        <f t="shared" si="47"/>
        <v>17999.844587931409</v>
      </c>
      <c r="J490" s="26">
        <f t="shared" si="46"/>
        <v>4368100</v>
      </c>
      <c r="K490" s="2">
        <f t="shared" si="42"/>
        <v>3743905.7281335108</v>
      </c>
    </row>
    <row r="491" spans="5:11" x14ac:dyDescent="0.25">
      <c r="E491">
        <v>0.48499999999999999</v>
      </c>
      <c r="F491" s="2">
        <f t="shared" si="43"/>
        <v>24250.015491154667</v>
      </c>
      <c r="G491" s="2">
        <f t="shared" si="44"/>
        <v>8730005.5768156797</v>
      </c>
      <c r="H491" s="26">
        <f t="shared" si="45"/>
        <v>8130005.5768156797</v>
      </c>
      <c r="I491" s="26">
        <f t="shared" si="47"/>
        <v>17999.848682168871</v>
      </c>
      <c r="J491" s="26">
        <f t="shared" si="46"/>
        <v>4377125</v>
      </c>
      <c r="K491" s="2">
        <f t="shared" si="42"/>
        <v>3752880.5768156797</v>
      </c>
    </row>
    <row r="492" spans="5:11" x14ac:dyDescent="0.25">
      <c r="E492">
        <v>0.48599999999999999</v>
      </c>
      <c r="F492" s="2">
        <f t="shared" si="43"/>
        <v>24300.015081901707</v>
      </c>
      <c r="G492" s="2">
        <f t="shared" si="44"/>
        <v>8748005.4294846151</v>
      </c>
      <c r="H492" s="26">
        <f t="shared" si="45"/>
        <v>8148005.4294846151</v>
      </c>
      <c r="I492" s="26">
        <f t="shared" si="47"/>
        <v>17999.852668935433</v>
      </c>
      <c r="J492" s="26">
        <f t="shared" si="46"/>
        <v>4386150</v>
      </c>
      <c r="K492" s="2">
        <f t="shared" si="42"/>
        <v>3761855.4294846151</v>
      </c>
    </row>
    <row r="493" spans="5:11" x14ac:dyDescent="0.25">
      <c r="E493">
        <v>0.48699999999999999</v>
      </c>
      <c r="F493" s="2">
        <f t="shared" si="43"/>
        <v>24350.014683432339</v>
      </c>
      <c r="G493" s="2">
        <f t="shared" si="44"/>
        <v>8766005.286035642</v>
      </c>
      <c r="H493" s="26">
        <f t="shared" si="45"/>
        <v>8166005.286035642</v>
      </c>
      <c r="I493" s="26">
        <f t="shared" si="47"/>
        <v>17999.856551026925</v>
      </c>
      <c r="J493" s="26">
        <f t="shared" si="46"/>
        <v>4395175</v>
      </c>
      <c r="K493" s="2">
        <f t="shared" si="42"/>
        <v>3770830.286035642</v>
      </c>
    </row>
    <row r="494" spans="5:11" x14ac:dyDescent="0.25">
      <c r="E494">
        <v>0.48799999999999999</v>
      </c>
      <c r="F494" s="2">
        <f t="shared" si="43"/>
        <v>24400.014295463414</v>
      </c>
      <c r="G494" s="2">
        <f t="shared" si="44"/>
        <v>8784005.1463668291</v>
      </c>
      <c r="H494" s="26">
        <f t="shared" si="45"/>
        <v>8184005.1463668291</v>
      </c>
      <c r="I494" s="26">
        <f t="shared" si="47"/>
        <v>17999.860331187025</v>
      </c>
      <c r="J494" s="26">
        <f t="shared" si="46"/>
        <v>4404200</v>
      </c>
      <c r="K494" s="2">
        <f t="shared" si="42"/>
        <v>3779805.1463668291</v>
      </c>
    </row>
    <row r="495" spans="5:11" x14ac:dyDescent="0.25">
      <c r="E495">
        <v>0.48899999999999999</v>
      </c>
      <c r="F495" s="2">
        <f t="shared" si="43"/>
        <v>24450.013917719181</v>
      </c>
      <c r="G495" s="2">
        <f t="shared" si="44"/>
        <v>8802005.0103789046</v>
      </c>
      <c r="H495" s="26">
        <f t="shared" si="45"/>
        <v>8202005.0103789046</v>
      </c>
      <c r="I495" s="26">
        <f t="shared" si="47"/>
        <v>17999.864012075588</v>
      </c>
      <c r="J495" s="26">
        <f t="shared" si="46"/>
        <v>4413225</v>
      </c>
      <c r="K495" s="2">
        <f t="shared" si="42"/>
        <v>3788780.0103789046</v>
      </c>
    </row>
    <row r="496" spans="5:11" x14ac:dyDescent="0.25">
      <c r="E496">
        <v>0.49</v>
      </c>
      <c r="F496" s="2">
        <f t="shared" si="43"/>
        <v>24500.013549931104</v>
      </c>
      <c r="G496" s="2">
        <f t="shared" si="44"/>
        <v>8820004.8779751975</v>
      </c>
      <c r="H496" s="26">
        <f t="shared" si="45"/>
        <v>8220004.8779751975</v>
      </c>
      <c r="I496" s="26">
        <f t="shared" si="47"/>
        <v>17999.867596292868</v>
      </c>
      <c r="J496" s="26">
        <f t="shared" si="46"/>
        <v>4422250</v>
      </c>
      <c r="K496" s="2">
        <f t="shared" si="42"/>
        <v>3797754.8779751975</v>
      </c>
    </row>
    <row r="497" spans="5:11" x14ac:dyDescent="0.25">
      <c r="E497">
        <v>0.49099999999999999</v>
      </c>
      <c r="F497" s="2">
        <f t="shared" si="43"/>
        <v>24550.013191837657</v>
      </c>
      <c r="G497" s="2">
        <f t="shared" si="44"/>
        <v>8838004.7490615565</v>
      </c>
      <c r="H497" s="26">
        <f t="shared" si="45"/>
        <v>8238004.7490615565</v>
      </c>
      <c r="I497" s="26">
        <f t="shared" si="47"/>
        <v>17999.871086359024</v>
      </c>
      <c r="J497" s="26">
        <f t="shared" si="46"/>
        <v>4431275</v>
      </c>
      <c r="K497" s="2">
        <f t="shared" si="42"/>
        <v>3806729.7490615565</v>
      </c>
    </row>
    <row r="498" spans="5:11" x14ac:dyDescent="0.25">
      <c r="E498">
        <v>0.49199999999999999</v>
      </c>
      <c r="F498" s="2">
        <f t="shared" si="43"/>
        <v>24600.012843184162</v>
      </c>
      <c r="G498" s="2">
        <f t="shared" si="44"/>
        <v>8856004.6235462986</v>
      </c>
      <c r="H498" s="26">
        <f t="shared" si="45"/>
        <v>8256004.6235462986</v>
      </c>
      <c r="I498" s="26">
        <f t="shared" si="47"/>
        <v>17999.87448474206</v>
      </c>
      <c r="J498" s="26">
        <f t="shared" si="46"/>
        <v>4440300</v>
      </c>
      <c r="K498" s="2">
        <f t="shared" si="42"/>
        <v>3815704.6235462986</v>
      </c>
    </row>
    <row r="499" spans="5:11" x14ac:dyDescent="0.25">
      <c r="E499">
        <v>0.49299999999999999</v>
      </c>
      <c r="F499" s="2">
        <f t="shared" si="43"/>
        <v>24650.012503722595</v>
      </c>
      <c r="G499" s="2">
        <f t="shared" si="44"/>
        <v>8874004.5013401341</v>
      </c>
      <c r="H499" s="26">
        <f t="shared" si="45"/>
        <v>8274004.5013401341</v>
      </c>
      <c r="I499" s="26">
        <f t="shared" si="47"/>
        <v>17999.877793835476</v>
      </c>
      <c r="J499" s="26">
        <f t="shared" si="46"/>
        <v>4449325</v>
      </c>
      <c r="K499" s="2">
        <f t="shared" si="42"/>
        <v>3824679.5013401341</v>
      </c>
    </row>
    <row r="500" spans="5:11" x14ac:dyDescent="0.25">
      <c r="E500">
        <v>0.49399999999999999</v>
      </c>
      <c r="F500" s="2">
        <f t="shared" si="43"/>
        <v>24700.012173211424</v>
      </c>
      <c r="G500" s="2">
        <f t="shared" si="44"/>
        <v>8892004.3823561128</v>
      </c>
      <c r="H500" s="26">
        <f t="shared" si="45"/>
        <v>8292004.3823561128</v>
      </c>
      <c r="I500" s="26">
        <f t="shared" si="47"/>
        <v>17999.881015978754</v>
      </c>
      <c r="J500" s="26">
        <f t="shared" si="46"/>
        <v>4458350</v>
      </c>
      <c r="K500" s="2">
        <f t="shared" si="42"/>
        <v>3833654.3823561128</v>
      </c>
    </row>
    <row r="501" spans="5:11" x14ac:dyDescent="0.25">
      <c r="E501">
        <v>0.495</v>
      </c>
      <c r="F501" s="2">
        <f t="shared" si="43"/>
        <v>24750.011851415431</v>
      </c>
      <c r="G501" s="2">
        <f t="shared" si="44"/>
        <v>8910004.2665095553</v>
      </c>
      <c r="H501" s="26">
        <f t="shared" si="45"/>
        <v>8310004.2665095553</v>
      </c>
      <c r="I501" s="26">
        <f t="shared" si="47"/>
        <v>17999.884153442457</v>
      </c>
      <c r="J501" s="26">
        <f t="shared" si="46"/>
        <v>4467375</v>
      </c>
      <c r="K501" s="2">
        <f t="shared" si="42"/>
        <v>3842629.2665095553</v>
      </c>
    </row>
    <row r="502" spans="5:11" x14ac:dyDescent="0.25">
      <c r="E502">
        <v>0.496</v>
      </c>
      <c r="F502" s="2">
        <f t="shared" si="43"/>
        <v>24800.011538105566</v>
      </c>
      <c r="G502" s="2">
        <f t="shared" si="44"/>
        <v>8928004.153718004</v>
      </c>
      <c r="H502" s="26">
        <f t="shared" si="45"/>
        <v>8328004.153718004</v>
      </c>
      <c r="I502" s="26">
        <f t="shared" si="47"/>
        <v>17999.887208448723</v>
      </c>
      <c r="J502" s="26">
        <f t="shared" si="46"/>
        <v>4476400</v>
      </c>
      <c r="K502" s="2">
        <f t="shared" si="42"/>
        <v>3851604.153718004</v>
      </c>
    </row>
    <row r="503" spans="5:11" x14ac:dyDescent="0.25">
      <c r="E503">
        <v>0.497</v>
      </c>
      <c r="F503" s="2">
        <f t="shared" si="43"/>
        <v>24850.011233058751</v>
      </c>
      <c r="G503" s="2">
        <f t="shared" si="44"/>
        <v>8946004.043901151</v>
      </c>
      <c r="H503" s="26">
        <f t="shared" si="45"/>
        <v>8346004.043901151</v>
      </c>
      <c r="I503" s="26">
        <f t="shared" si="47"/>
        <v>17999.890183147043</v>
      </c>
      <c r="J503" s="26">
        <f t="shared" si="46"/>
        <v>4485425</v>
      </c>
      <c r="K503" s="2">
        <f t="shared" si="42"/>
        <v>3860579.043901151</v>
      </c>
    </row>
    <row r="504" spans="5:11" x14ac:dyDescent="0.25">
      <c r="E504">
        <v>0.498</v>
      </c>
      <c r="F504" s="2">
        <f t="shared" si="43"/>
        <v>24900.01093605777</v>
      </c>
      <c r="G504" s="2">
        <f t="shared" si="44"/>
        <v>8964003.936980797</v>
      </c>
      <c r="H504" s="26">
        <f t="shared" si="45"/>
        <v>8364003.936980797</v>
      </c>
      <c r="I504" s="26">
        <f t="shared" si="47"/>
        <v>17999.893079645932</v>
      </c>
      <c r="J504" s="26">
        <f t="shared" si="46"/>
        <v>4494450</v>
      </c>
      <c r="K504" s="2">
        <f t="shared" si="42"/>
        <v>3869553.936980797</v>
      </c>
    </row>
    <row r="505" spans="5:11" x14ac:dyDescent="0.25">
      <c r="E505">
        <v>0.499</v>
      </c>
      <c r="F505" s="2">
        <f t="shared" si="43"/>
        <v>24950.010646891078</v>
      </c>
      <c r="G505" s="2">
        <f t="shared" si="44"/>
        <v>8982003.8328807876</v>
      </c>
      <c r="H505" s="26">
        <f t="shared" si="45"/>
        <v>8382003.8328807876</v>
      </c>
      <c r="I505" s="26">
        <f t="shared" si="47"/>
        <v>17999.895899990574</v>
      </c>
      <c r="J505" s="26">
        <f t="shared" si="46"/>
        <v>4503475</v>
      </c>
      <c r="K505" s="2">
        <f t="shared" si="42"/>
        <v>3878528.8328807876</v>
      </c>
    </row>
    <row r="506" spans="5:11" x14ac:dyDescent="0.25">
      <c r="E506">
        <v>0.5</v>
      </c>
      <c r="F506" s="2">
        <f t="shared" si="43"/>
        <v>25000.010365352668</v>
      </c>
      <c r="G506" s="2">
        <f t="shared" si="44"/>
        <v>9000003.7315269597</v>
      </c>
      <c r="H506" s="26">
        <f t="shared" si="45"/>
        <v>8400003.7315269597</v>
      </c>
      <c r="I506" s="26">
        <f t="shared" si="47"/>
        <v>17999.898646172136</v>
      </c>
      <c r="J506" s="26">
        <f t="shared" si="46"/>
        <v>4512500</v>
      </c>
      <c r="K506" s="2">
        <f t="shared" si="42"/>
        <v>3887503.7315269597</v>
      </c>
    </row>
    <row r="507" spans="5:11" x14ac:dyDescent="0.25">
      <c r="E507">
        <v>0.501</v>
      </c>
      <c r="F507" s="2">
        <f t="shared" si="43"/>
        <v>25050.01009124194</v>
      </c>
      <c r="G507" s="2">
        <f t="shared" si="44"/>
        <v>9018003.6328470986</v>
      </c>
      <c r="H507" s="26">
        <f t="shared" si="45"/>
        <v>8418003.6328470986</v>
      </c>
      <c r="I507" s="26">
        <f t="shared" si="47"/>
        <v>17999.901320138946</v>
      </c>
      <c r="J507" s="26">
        <f t="shared" si="46"/>
        <v>4521525</v>
      </c>
      <c r="K507" s="2">
        <f t="shared" si="42"/>
        <v>3896478.6328470986</v>
      </c>
    </row>
    <row r="508" spans="5:11" x14ac:dyDescent="0.25">
      <c r="E508">
        <v>0.502</v>
      </c>
      <c r="F508" s="2">
        <f t="shared" si="43"/>
        <v>25100.009824363537</v>
      </c>
      <c r="G508" s="2">
        <f t="shared" si="44"/>
        <v>9036003.5367708728</v>
      </c>
      <c r="H508" s="26">
        <f t="shared" si="45"/>
        <v>8436003.5367708728</v>
      </c>
      <c r="I508" s="26">
        <f t="shared" si="47"/>
        <v>17999.903923774138</v>
      </c>
      <c r="J508" s="26">
        <f t="shared" si="46"/>
        <v>4530550</v>
      </c>
      <c r="K508" s="2">
        <f t="shared" si="42"/>
        <v>3905453.5367708728</v>
      </c>
    </row>
    <row r="509" spans="5:11" x14ac:dyDescent="0.25">
      <c r="E509">
        <v>0.503</v>
      </c>
      <c r="F509" s="2">
        <f t="shared" si="43"/>
        <v>25150.009564527219</v>
      </c>
      <c r="G509" s="2">
        <f t="shared" si="44"/>
        <v>9054003.4432297982</v>
      </c>
      <c r="H509" s="26">
        <f t="shared" si="45"/>
        <v>8454003.4432297982</v>
      </c>
      <c r="I509" s="26">
        <f t="shared" si="47"/>
        <v>17999.906458925456</v>
      </c>
      <c r="J509" s="26">
        <f t="shared" si="46"/>
        <v>4539575</v>
      </c>
      <c r="K509" s="2">
        <f t="shared" si="42"/>
        <v>3914428.4432297982</v>
      </c>
    </row>
    <row r="510" spans="5:11" x14ac:dyDescent="0.25">
      <c r="E510">
        <v>0.504</v>
      </c>
      <c r="F510" s="2">
        <f t="shared" si="43"/>
        <v>25200.009311547747</v>
      </c>
      <c r="G510" s="2">
        <f t="shared" si="44"/>
        <v>9072003.3521571886</v>
      </c>
      <c r="H510" s="26">
        <f t="shared" si="45"/>
        <v>8472003.3521571886</v>
      </c>
      <c r="I510" s="26">
        <f t="shared" si="47"/>
        <v>17999.908927390352</v>
      </c>
      <c r="J510" s="26">
        <f t="shared" si="46"/>
        <v>4548600</v>
      </c>
      <c r="K510" s="2">
        <f t="shared" si="42"/>
        <v>3923403.3521571886</v>
      </c>
    </row>
    <row r="511" spans="5:11" x14ac:dyDescent="0.25">
      <c r="E511">
        <v>0.505</v>
      </c>
      <c r="F511" s="2">
        <f t="shared" si="43"/>
        <v>25250.0090652447</v>
      </c>
      <c r="G511" s="2">
        <f t="shared" si="44"/>
        <v>9090003.2634880915</v>
      </c>
      <c r="H511" s="26">
        <f t="shared" si="45"/>
        <v>8490003.2634880915</v>
      </c>
      <c r="I511" s="26">
        <f t="shared" si="47"/>
        <v>17999.911330902949</v>
      </c>
      <c r="J511" s="26">
        <f t="shared" si="46"/>
        <v>4557625</v>
      </c>
      <c r="K511" s="2">
        <f t="shared" si="42"/>
        <v>3932378.2634880915</v>
      </c>
    </row>
    <row r="512" spans="5:11" x14ac:dyDescent="0.25">
      <c r="E512">
        <v>0.50600000000000001</v>
      </c>
      <c r="F512" s="2">
        <f t="shared" si="43"/>
        <v>25300.008825442415</v>
      </c>
      <c r="G512" s="2">
        <f t="shared" si="44"/>
        <v>9108003.1771592703</v>
      </c>
      <c r="H512" s="26">
        <f t="shared" si="45"/>
        <v>8508003.1771592703</v>
      </c>
      <c r="I512" s="26">
        <f t="shared" si="47"/>
        <v>17999.913671178743</v>
      </c>
      <c r="J512" s="26">
        <f t="shared" si="46"/>
        <v>4566650</v>
      </c>
      <c r="K512" s="2">
        <f t="shared" si="42"/>
        <v>3941353.1771592703</v>
      </c>
    </row>
    <row r="513" spans="5:11" x14ac:dyDescent="0.25">
      <c r="E513">
        <v>0.50700000000000001</v>
      </c>
      <c r="F513" s="2">
        <f t="shared" si="43"/>
        <v>25350.008591969836</v>
      </c>
      <c r="G513" s="2">
        <f t="shared" si="44"/>
        <v>9126003.0931091402</v>
      </c>
      <c r="H513" s="26">
        <f t="shared" si="45"/>
        <v>8526003.0931091402</v>
      </c>
      <c r="I513" s="26">
        <f t="shared" si="47"/>
        <v>17999.915949869901</v>
      </c>
      <c r="J513" s="26">
        <f t="shared" si="46"/>
        <v>4575675</v>
      </c>
      <c r="K513" s="2">
        <f t="shared" si="42"/>
        <v>3950328.0931091402</v>
      </c>
    </row>
    <row r="514" spans="5:11" x14ac:dyDescent="0.25">
      <c r="E514">
        <v>0.50800000000000001</v>
      </c>
      <c r="F514" s="2">
        <f t="shared" si="43"/>
        <v>25400.008364660356</v>
      </c>
      <c r="G514" s="2">
        <f t="shared" si="44"/>
        <v>9144003.0112777278</v>
      </c>
      <c r="H514" s="26">
        <f t="shared" si="45"/>
        <v>8544003.0112777278</v>
      </c>
      <c r="I514" s="26">
        <f t="shared" si="47"/>
        <v>17999.91816858761</v>
      </c>
      <c r="J514" s="26">
        <f t="shared" si="46"/>
        <v>4584700</v>
      </c>
      <c r="K514" s="2">
        <f t="shared" si="42"/>
        <v>3959303.0112777278</v>
      </c>
    </row>
    <row r="515" spans="5:11" x14ac:dyDescent="0.25">
      <c r="E515">
        <v>0.50900000000000001</v>
      </c>
      <c r="F515" s="2">
        <f t="shared" si="43"/>
        <v>25450.00814335177</v>
      </c>
      <c r="G515" s="2">
        <f t="shared" si="44"/>
        <v>9162002.9316066373</v>
      </c>
      <c r="H515" s="26">
        <f t="shared" si="45"/>
        <v>8562002.9316066373</v>
      </c>
      <c r="I515" s="26">
        <f t="shared" si="47"/>
        <v>17999.920328909531</v>
      </c>
      <c r="J515" s="26">
        <f t="shared" si="46"/>
        <v>4593725</v>
      </c>
      <c r="K515" s="2">
        <f t="shared" si="42"/>
        <v>3968277.9316066373</v>
      </c>
    </row>
    <row r="516" spans="5:11" x14ac:dyDescent="0.25">
      <c r="E516">
        <v>0.51</v>
      </c>
      <c r="F516" s="2">
        <f t="shared" si="43"/>
        <v>25500.007927886119</v>
      </c>
      <c r="G516" s="2">
        <f t="shared" si="44"/>
        <v>9180002.8540390022</v>
      </c>
      <c r="H516" s="26">
        <f t="shared" si="45"/>
        <v>8580002.8540390022</v>
      </c>
      <c r="I516" s="26">
        <f t="shared" si="47"/>
        <v>17999.922432364896</v>
      </c>
      <c r="J516" s="26">
        <f t="shared" si="46"/>
        <v>4602750</v>
      </c>
      <c r="K516" s="2">
        <f t="shared" si="42"/>
        <v>3977252.8540390022</v>
      </c>
    </row>
    <row r="517" spans="5:11" x14ac:dyDescent="0.25">
      <c r="E517">
        <v>0.51100000000000001</v>
      </c>
      <c r="F517" s="2">
        <f t="shared" si="43"/>
        <v>25550.007718109573</v>
      </c>
      <c r="G517" s="2">
        <f t="shared" si="44"/>
        <v>9198002.778519446</v>
      </c>
      <c r="H517" s="26">
        <f t="shared" si="45"/>
        <v>8598002.778519446</v>
      </c>
      <c r="I517" s="26">
        <f t="shared" si="47"/>
        <v>17999.92448044382</v>
      </c>
      <c r="J517" s="26">
        <f t="shared" si="46"/>
        <v>4611775</v>
      </c>
      <c r="K517" s="2">
        <f t="shared" si="42"/>
        <v>3986227.778519446</v>
      </c>
    </row>
    <row r="518" spans="5:11" x14ac:dyDescent="0.25">
      <c r="E518">
        <v>0.51200000000000001</v>
      </c>
      <c r="F518" s="2">
        <f t="shared" si="43"/>
        <v>25600.00751387234</v>
      </c>
      <c r="G518" s="2">
        <f t="shared" si="44"/>
        <v>9216002.7049940433</v>
      </c>
      <c r="H518" s="26">
        <f t="shared" si="45"/>
        <v>8616002.7049940433</v>
      </c>
      <c r="I518" s="26">
        <f t="shared" si="47"/>
        <v>17999.926474597305</v>
      </c>
      <c r="J518" s="26">
        <f t="shared" si="46"/>
        <v>4620800</v>
      </c>
      <c r="K518" s="2">
        <f t="shared" ref="K518:K581" si="48">H518-J518</f>
        <v>3995202.7049940433</v>
      </c>
    </row>
    <row r="519" spans="5:11" x14ac:dyDescent="0.25">
      <c r="E519">
        <v>0.51300000000000001</v>
      </c>
      <c r="F519" s="2">
        <f t="shared" ref="F519:F582" si="49">PMT(E519/12,$C$7,-$C$6,0,0)</f>
        <v>25650.007315028575</v>
      </c>
      <c r="G519" s="2">
        <f t="shared" ref="G519:G582" si="50">360*F519</f>
        <v>9234002.6334102862</v>
      </c>
      <c r="H519" s="26">
        <f t="shared" ref="H519:H582" si="51">360*F519-$C$6</f>
        <v>8634002.6334102862</v>
      </c>
      <c r="I519" s="26">
        <f t="shared" si="47"/>
        <v>17999.928416242823</v>
      </c>
      <c r="J519" s="26">
        <f t="shared" ref="J519:J582" si="52">$C$6*E519/12*($C$7+1)/2</f>
        <v>4629825</v>
      </c>
      <c r="K519" s="2">
        <f t="shared" si="48"/>
        <v>4004177.6334102862</v>
      </c>
    </row>
    <row r="520" spans="5:11" x14ac:dyDescent="0.25">
      <c r="E520">
        <v>0.51400000000000001</v>
      </c>
      <c r="F520" s="2">
        <f t="shared" si="49"/>
        <v>25700.007121436232</v>
      </c>
      <c r="G520" s="2">
        <f t="shared" si="50"/>
        <v>9252002.563717043</v>
      </c>
      <c r="H520" s="26">
        <f t="shared" si="51"/>
        <v>8652002.563717043</v>
      </c>
      <c r="I520" s="26">
        <f t="shared" si="47"/>
        <v>17999.930306756869</v>
      </c>
      <c r="J520" s="26">
        <f t="shared" si="52"/>
        <v>4638850</v>
      </c>
      <c r="K520" s="2">
        <f t="shared" si="48"/>
        <v>4013152.563717043</v>
      </c>
    </row>
    <row r="521" spans="5:11" x14ac:dyDescent="0.25">
      <c r="E521">
        <v>0.51500000000000001</v>
      </c>
      <c r="F521" s="2">
        <f t="shared" si="49"/>
        <v>25750.006932957014</v>
      </c>
      <c r="G521" s="2">
        <f t="shared" si="50"/>
        <v>9270002.4958645254</v>
      </c>
      <c r="H521" s="26">
        <f t="shared" si="51"/>
        <v>8670002.4958645254</v>
      </c>
      <c r="I521" s="26">
        <f t="shared" ref="I521:I584" si="53">H521-H520</f>
        <v>17999.93214748241</v>
      </c>
      <c r="J521" s="26">
        <f t="shared" si="52"/>
        <v>4647875</v>
      </c>
      <c r="K521" s="2">
        <f t="shared" si="48"/>
        <v>4022127.4958645254</v>
      </c>
    </row>
    <row r="522" spans="5:11" x14ac:dyDescent="0.25">
      <c r="E522">
        <v>0.51600000000000001</v>
      </c>
      <c r="F522" s="2">
        <f t="shared" si="49"/>
        <v>25800.006749456239</v>
      </c>
      <c r="G522" s="2">
        <f t="shared" si="50"/>
        <v>9288002.4298042469</v>
      </c>
      <c r="H522" s="26">
        <f t="shared" si="51"/>
        <v>8688002.4298042469</v>
      </c>
      <c r="I522" s="26">
        <f t="shared" si="53"/>
        <v>17999.933939721435</v>
      </c>
      <c r="J522" s="26">
        <f t="shared" si="52"/>
        <v>4656900</v>
      </c>
      <c r="K522" s="2">
        <f t="shared" si="48"/>
        <v>4031102.4298042469</v>
      </c>
    </row>
    <row r="523" spans="5:11" x14ac:dyDescent="0.25">
      <c r="E523">
        <v>0.51700000000000002</v>
      </c>
      <c r="F523" s="2">
        <f t="shared" si="49"/>
        <v>25850.006570802772</v>
      </c>
      <c r="G523" s="2">
        <f t="shared" si="50"/>
        <v>9306002.3654889986</v>
      </c>
      <c r="H523" s="26">
        <f t="shared" si="51"/>
        <v>8706002.3654889986</v>
      </c>
      <c r="I523" s="26">
        <f t="shared" si="53"/>
        <v>17999.935684751719</v>
      </c>
      <c r="J523" s="26">
        <f t="shared" si="52"/>
        <v>4665925</v>
      </c>
      <c r="K523" s="2">
        <f t="shared" si="48"/>
        <v>4040077.3654889986</v>
      </c>
    </row>
    <row r="524" spans="5:11" x14ac:dyDescent="0.25">
      <c r="E524">
        <v>0.51800000000000002</v>
      </c>
      <c r="F524" s="2">
        <f t="shared" si="49"/>
        <v>25900.006396868899</v>
      </c>
      <c r="G524" s="2">
        <f t="shared" si="50"/>
        <v>9324002.3028728031</v>
      </c>
      <c r="H524" s="26">
        <f t="shared" si="51"/>
        <v>8724002.3028728031</v>
      </c>
      <c r="I524" s="26">
        <f t="shared" si="53"/>
        <v>17999.93738380447</v>
      </c>
      <c r="J524" s="26">
        <f t="shared" si="52"/>
        <v>4674950</v>
      </c>
      <c r="K524" s="2">
        <f t="shared" si="48"/>
        <v>4049052.3028728031</v>
      </c>
    </row>
    <row r="525" spans="5:11" x14ac:dyDescent="0.25">
      <c r="E525">
        <v>0.51900000000000002</v>
      </c>
      <c r="F525" s="2">
        <f t="shared" si="49"/>
        <v>25950.006227530284</v>
      </c>
      <c r="G525" s="2">
        <f t="shared" si="50"/>
        <v>9342002.2419109028</v>
      </c>
      <c r="H525" s="26">
        <f t="shared" si="51"/>
        <v>8742002.2419109028</v>
      </c>
      <c r="I525" s="26">
        <f t="shared" si="53"/>
        <v>17999.939038099721</v>
      </c>
      <c r="J525" s="26">
        <f t="shared" si="52"/>
        <v>4683975</v>
      </c>
      <c r="K525" s="2">
        <f t="shared" si="48"/>
        <v>4058027.2419109028</v>
      </c>
    </row>
    <row r="526" spans="5:11" x14ac:dyDescent="0.25">
      <c r="E526">
        <v>0.52</v>
      </c>
      <c r="F526" s="2">
        <f t="shared" si="49"/>
        <v>26000.006062665841</v>
      </c>
      <c r="G526" s="2">
        <f t="shared" si="50"/>
        <v>9360002.1825597025</v>
      </c>
      <c r="H526" s="26">
        <f t="shared" si="51"/>
        <v>8760002.1825597025</v>
      </c>
      <c r="I526" s="26">
        <f t="shared" si="53"/>
        <v>17999.940648799762</v>
      </c>
      <c r="J526" s="26">
        <f t="shared" si="52"/>
        <v>4693000</v>
      </c>
      <c r="K526" s="2">
        <f t="shared" si="48"/>
        <v>4067002.1825597025</v>
      </c>
    </row>
    <row r="527" spans="5:11" x14ac:dyDescent="0.25">
      <c r="E527">
        <v>0.52100000000000002</v>
      </c>
      <c r="F527" s="2">
        <f t="shared" si="49"/>
        <v>26050.00590215766</v>
      </c>
      <c r="G527" s="2">
        <f t="shared" si="50"/>
        <v>9378002.1247767583</v>
      </c>
      <c r="H527" s="26">
        <f t="shared" si="51"/>
        <v>8778002.1247767583</v>
      </c>
      <c r="I527" s="26">
        <f t="shared" si="53"/>
        <v>17999.942217055708</v>
      </c>
      <c r="J527" s="26">
        <f t="shared" si="52"/>
        <v>4702025</v>
      </c>
      <c r="K527" s="2">
        <f t="shared" si="48"/>
        <v>4075977.1247767583</v>
      </c>
    </row>
    <row r="528" spans="5:11" x14ac:dyDescent="0.25">
      <c r="E528">
        <v>0.52200000000000002</v>
      </c>
      <c r="F528" s="2">
        <f t="shared" si="49"/>
        <v>26100.005745890936</v>
      </c>
      <c r="G528" s="2">
        <f t="shared" si="50"/>
        <v>9396002.0685207378</v>
      </c>
      <c r="H528" s="26">
        <f t="shared" si="51"/>
        <v>8796002.0685207378</v>
      </c>
      <c r="I528" s="26">
        <f t="shared" si="53"/>
        <v>17999.943743979558</v>
      </c>
      <c r="J528" s="26">
        <f t="shared" si="52"/>
        <v>4711050</v>
      </c>
      <c r="K528" s="2">
        <f t="shared" si="48"/>
        <v>4084952.0685207378</v>
      </c>
    </row>
    <row r="529" spans="5:11" x14ac:dyDescent="0.25">
      <c r="E529">
        <v>0.52300000000000002</v>
      </c>
      <c r="F529" s="2">
        <f t="shared" si="49"/>
        <v>26150.005593753878</v>
      </c>
      <c r="G529" s="2">
        <f t="shared" si="50"/>
        <v>9414002.0137513969</v>
      </c>
      <c r="H529" s="26">
        <f t="shared" si="51"/>
        <v>8814002.0137513969</v>
      </c>
      <c r="I529" s="26">
        <f t="shared" si="53"/>
        <v>17999.945230659097</v>
      </c>
      <c r="J529" s="26">
        <f t="shared" si="52"/>
        <v>4720075</v>
      </c>
      <c r="K529" s="2">
        <f t="shared" si="48"/>
        <v>4093927.0137513969</v>
      </c>
    </row>
    <row r="530" spans="5:11" x14ac:dyDescent="0.25">
      <c r="E530">
        <v>0.52400000000000002</v>
      </c>
      <c r="F530" s="2">
        <f t="shared" si="49"/>
        <v>26200.005445637627</v>
      </c>
      <c r="G530" s="2">
        <f t="shared" si="50"/>
        <v>9432001.9604295455</v>
      </c>
      <c r="H530" s="26">
        <f t="shared" si="51"/>
        <v>8832001.9604295455</v>
      </c>
      <c r="I530" s="26">
        <f t="shared" si="53"/>
        <v>17999.946678148583</v>
      </c>
      <c r="J530" s="26">
        <f t="shared" si="52"/>
        <v>4729100</v>
      </c>
      <c r="K530" s="2">
        <f t="shared" si="48"/>
        <v>4102901.9604295455</v>
      </c>
    </row>
    <row r="531" spans="5:11" x14ac:dyDescent="0.25">
      <c r="E531">
        <v>0.52500000000000002</v>
      </c>
      <c r="F531" s="2">
        <f t="shared" si="49"/>
        <v>26250.005301436187</v>
      </c>
      <c r="G531" s="2">
        <f t="shared" si="50"/>
        <v>9450001.9085170273</v>
      </c>
      <c r="H531" s="26">
        <f t="shared" si="51"/>
        <v>8850001.9085170273</v>
      </c>
      <c r="I531" s="26">
        <f t="shared" si="53"/>
        <v>17999.948087481782</v>
      </c>
      <c r="J531" s="26">
        <f t="shared" si="52"/>
        <v>4738125</v>
      </c>
      <c r="K531" s="2">
        <f t="shared" si="48"/>
        <v>4111876.9085170273</v>
      </c>
    </row>
    <row r="532" spans="5:11" x14ac:dyDescent="0.25">
      <c r="E532">
        <v>0.52600000000000002</v>
      </c>
      <c r="F532" s="2">
        <f t="shared" si="49"/>
        <v>26300.005161046349</v>
      </c>
      <c r="G532" s="2">
        <f t="shared" si="50"/>
        <v>9468001.8579766862</v>
      </c>
      <c r="H532" s="26">
        <f t="shared" si="51"/>
        <v>8868001.8579766862</v>
      </c>
      <c r="I532" s="26">
        <f t="shared" si="53"/>
        <v>17999.949459658936</v>
      </c>
      <c r="J532" s="26">
        <f t="shared" si="52"/>
        <v>4747150</v>
      </c>
      <c r="K532" s="2">
        <f t="shared" si="48"/>
        <v>4120851.8579766862</v>
      </c>
    </row>
    <row r="533" spans="5:11" x14ac:dyDescent="0.25">
      <c r="E533">
        <v>0.52700000000000002</v>
      </c>
      <c r="F533" s="2">
        <f t="shared" si="49"/>
        <v>26350.005024367605</v>
      </c>
      <c r="G533" s="2">
        <f t="shared" si="50"/>
        <v>9486001.8087723386</v>
      </c>
      <c r="H533" s="26">
        <f t="shared" si="51"/>
        <v>8886001.8087723386</v>
      </c>
      <c r="I533" s="26">
        <f t="shared" si="53"/>
        <v>17999.950795652345</v>
      </c>
      <c r="J533" s="26">
        <f t="shared" si="52"/>
        <v>4756175</v>
      </c>
      <c r="K533" s="2">
        <f t="shared" si="48"/>
        <v>4129826.8087723386</v>
      </c>
    </row>
    <row r="534" spans="5:11" x14ac:dyDescent="0.25">
      <c r="E534">
        <v>0.52800000000000002</v>
      </c>
      <c r="F534" s="2">
        <f t="shared" si="49"/>
        <v>26400.004891302109</v>
      </c>
      <c r="G534" s="2">
        <f t="shared" si="50"/>
        <v>9504001.7608687598</v>
      </c>
      <c r="H534" s="26">
        <f t="shared" si="51"/>
        <v>8904001.7608687598</v>
      </c>
      <c r="I534" s="26">
        <f t="shared" si="53"/>
        <v>17999.952096421272</v>
      </c>
      <c r="J534" s="26">
        <f t="shared" si="52"/>
        <v>4765200</v>
      </c>
      <c r="K534" s="2">
        <f t="shared" si="48"/>
        <v>4138801.7608687598</v>
      </c>
    </row>
    <row r="535" spans="5:11" x14ac:dyDescent="0.25">
      <c r="E535">
        <v>0.52900000000000003</v>
      </c>
      <c r="F535" s="2">
        <f t="shared" si="49"/>
        <v>26450.004761754561</v>
      </c>
      <c r="G535" s="2">
        <f t="shared" si="50"/>
        <v>9522001.714231642</v>
      </c>
      <c r="H535" s="26">
        <f t="shared" si="51"/>
        <v>8922001.714231642</v>
      </c>
      <c r="I535" s="26">
        <f t="shared" si="53"/>
        <v>17999.953362882137</v>
      </c>
      <c r="J535" s="26">
        <f t="shared" si="52"/>
        <v>4774225</v>
      </c>
      <c r="K535" s="2">
        <f t="shared" si="48"/>
        <v>4147776.714231642</v>
      </c>
    </row>
    <row r="536" spans="5:11" x14ac:dyDescent="0.25">
      <c r="E536">
        <v>0.53</v>
      </c>
      <c r="F536" s="2">
        <f t="shared" si="49"/>
        <v>26500.004635632184</v>
      </c>
      <c r="G536" s="2">
        <f t="shared" si="50"/>
        <v>9540001.6688275859</v>
      </c>
      <c r="H536" s="26">
        <f t="shared" si="51"/>
        <v>8940001.6688275859</v>
      </c>
      <c r="I536" s="26">
        <f t="shared" si="53"/>
        <v>17999.954595943913</v>
      </c>
      <c r="J536" s="26">
        <f t="shared" si="52"/>
        <v>4783250</v>
      </c>
      <c r="K536" s="2">
        <f t="shared" si="48"/>
        <v>4156751.6688275859</v>
      </c>
    </row>
    <row r="537" spans="5:11" x14ac:dyDescent="0.25">
      <c r="E537">
        <v>0.53100000000000003</v>
      </c>
      <c r="F537" s="2">
        <f t="shared" si="49"/>
        <v>26550.004512844636</v>
      </c>
      <c r="G537" s="2">
        <f t="shared" si="50"/>
        <v>9558001.6246240698</v>
      </c>
      <c r="H537" s="26">
        <f t="shared" si="51"/>
        <v>8958001.6246240698</v>
      </c>
      <c r="I537" s="26">
        <f t="shared" si="53"/>
        <v>17999.955796483904</v>
      </c>
      <c r="J537" s="26">
        <f t="shared" si="52"/>
        <v>4792275</v>
      </c>
      <c r="K537" s="2">
        <f t="shared" si="48"/>
        <v>4165726.6246240698</v>
      </c>
    </row>
    <row r="538" spans="5:11" x14ac:dyDescent="0.25">
      <c r="E538">
        <v>0.53200000000000003</v>
      </c>
      <c r="F538" s="2">
        <f t="shared" si="49"/>
        <v>26600.004393303941</v>
      </c>
      <c r="G538" s="2">
        <f t="shared" si="50"/>
        <v>9576001.5815894194</v>
      </c>
      <c r="H538" s="26">
        <f t="shared" si="51"/>
        <v>8976001.5815894194</v>
      </c>
      <c r="I538" s="26">
        <f t="shared" si="53"/>
        <v>17999.956965349615</v>
      </c>
      <c r="J538" s="26">
        <f t="shared" si="52"/>
        <v>4801300</v>
      </c>
      <c r="K538" s="2">
        <f t="shared" si="48"/>
        <v>4174701.5815894194</v>
      </c>
    </row>
    <row r="539" spans="5:11" x14ac:dyDescent="0.25">
      <c r="E539">
        <v>0.53300000000000003</v>
      </c>
      <c r="F539" s="2">
        <f t="shared" si="49"/>
        <v>26650.004276924454</v>
      </c>
      <c r="G539" s="2">
        <f t="shared" si="50"/>
        <v>9594001.5396928042</v>
      </c>
      <c r="H539" s="26">
        <f t="shared" si="51"/>
        <v>8994001.5396928042</v>
      </c>
      <c r="I539" s="26">
        <f t="shared" si="53"/>
        <v>17999.958103384823</v>
      </c>
      <c r="J539" s="26">
        <f t="shared" si="52"/>
        <v>4810325</v>
      </c>
      <c r="K539" s="2">
        <f t="shared" si="48"/>
        <v>4183676.5396928042</v>
      </c>
    </row>
    <row r="540" spans="5:11" x14ac:dyDescent="0.25">
      <c r="E540">
        <v>0.53400000000000003</v>
      </c>
      <c r="F540" s="2">
        <f t="shared" si="49"/>
        <v>26700.004163622776</v>
      </c>
      <c r="G540" s="2">
        <f t="shared" si="50"/>
        <v>9612001.4989042003</v>
      </c>
      <c r="H540" s="26">
        <f t="shared" si="51"/>
        <v>9012001.4989042003</v>
      </c>
      <c r="I540" s="26">
        <f t="shared" si="53"/>
        <v>17999.959211396053</v>
      </c>
      <c r="J540" s="26">
        <f t="shared" si="52"/>
        <v>4819350</v>
      </c>
      <c r="K540" s="2">
        <f t="shared" si="48"/>
        <v>4192651.4989042003</v>
      </c>
    </row>
    <row r="541" spans="5:11" x14ac:dyDescent="0.25">
      <c r="E541">
        <v>0.53500000000000003</v>
      </c>
      <c r="F541" s="2">
        <f t="shared" si="49"/>
        <v>26750.004053317687</v>
      </c>
      <c r="G541" s="2">
        <f t="shared" si="50"/>
        <v>9630001.4591943678</v>
      </c>
      <c r="H541" s="26">
        <f t="shared" si="51"/>
        <v>9030001.4591943678</v>
      </c>
      <c r="I541" s="26">
        <f t="shared" si="53"/>
        <v>17999.960290167481</v>
      </c>
      <c r="J541" s="26">
        <f t="shared" si="52"/>
        <v>4828375</v>
      </c>
      <c r="K541" s="2">
        <f t="shared" si="48"/>
        <v>4201626.4591943678</v>
      </c>
    </row>
    <row r="542" spans="5:11" x14ac:dyDescent="0.25">
      <c r="E542">
        <v>0.53600000000000003</v>
      </c>
      <c r="F542" s="2">
        <f t="shared" si="49"/>
        <v>26800.003945930115</v>
      </c>
      <c r="G542" s="2">
        <f t="shared" si="50"/>
        <v>9648001.4205348417</v>
      </c>
      <c r="H542" s="26">
        <f t="shared" si="51"/>
        <v>9048001.4205348417</v>
      </c>
      <c r="I542" s="26">
        <f t="shared" si="53"/>
        <v>17999.961340473965</v>
      </c>
      <c r="J542" s="26">
        <f t="shared" si="52"/>
        <v>4837400</v>
      </c>
      <c r="K542" s="2">
        <f t="shared" si="48"/>
        <v>4210601.4205348417</v>
      </c>
    </row>
    <row r="543" spans="5:11" x14ac:dyDescent="0.25">
      <c r="E543">
        <v>0.53700000000000003</v>
      </c>
      <c r="F543" s="2">
        <f t="shared" si="49"/>
        <v>26850.003841383081</v>
      </c>
      <c r="G543" s="2">
        <f t="shared" si="50"/>
        <v>9666001.3828979097</v>
      </c>
      <c r="H543" s="26">
        <f t="shared" si="51"/>
        <v>9066001.3828979097</v>
      </c>
      <c r="I543" s="26">
        <f t="shared" si="53"/>
        <v>17999.962363068014</v>
      </c>
      <c r="J543" s="26">
        <f t="shared" si="52"/>
        <v>4846425</v>
      </c>
      <c r="K543" s="2">
        <f t="shared" si="48"/>
        <v>4219576.3828979097</v>
      </c>
    </row>
    <row r="544" spans="5:11" x14ac:dyDescent="0.25">
      <c r="E544">
        <v>0.53800000000000003</v>
      </c>
      <c r="F544" s="2">
        <f t="shared" si="49"/>
        <v>26900.003739601598</v>
      </c>
      <c r="G544" s="2">
        <f t="shared" si="50"/>
        <v>9684001.3462565746</v>
      </c>
      <c r="H544" s="26">
        <f t="shared" si="51"/>
        <v>9084001.3462565746</v>
      </c>
      <c r="I544" s="26">
        <f t="shared" si="53"/>
        <v>17999.963358664885</v>
      </c>
      <c r="J544" s="26">
        <f t="shared" si="52"/>
        <v>4855450</v>
      </c>
      <c r="K544" s="2">
        <f t="shared" si="48"/>
        <v>4228551.3462565746</v>
      </c>
    </row>
    <row r="545" spans="5:11" x14ac:dyDescent="0.25">
      <c r="E545">
        <v>0.53900000000000003</v>
      </c>
      <c r="F545" s="2">
        <f t="shared" si="49"/>
        <v>26950.003640512685</v>
      </c>
      <c r="G545" s="2">
        <f t="shared" si="50"/>
        <v>9702001.3105845656</v>
      </c>
      <c r="H545" s="26">
        <f t="shared" si="51"/>
        <v>9102001.3105845656</v>
      </c>
      <c r="I545" s="26">
        <f t="shared" si="53"/>
        <v>17999.964327991009</v>
      </c>
      <c r="J545" s="26">
        <f t="shared" si="52"/>
        <v>4864475</v>
      </c>
      <c r="K545" s="2">
        <f t="shared" si="48"/>
        <v>4237526.3105845656</v>
      </c>
    </row>
    <row r="546" spans="5:11" x14ac:dyDescent="0.25">
      <c r="E546">
        <v>0.54</v>
      </c>
      <c r="F546" s="2">
        <f t="shared" si="49"/>
        <v>27000.00354404527</v>
      </c>
      <c r="G546" s="2">
        <f t="shared" si="50"/>
        <v>9720001.2758562975</v>
      </c>
      <c r="H546" s="26">
        <f t="shared" si="51"/>
        <v>9120001.2758562975</v>
      </c>
      <c r="I546" s="26">
        <f t="shared" si="53"/>
        <v>17999.965271731839</v>
      </c>
      <c r="J546" s="26">
        <f t="shared" si="52"/>
        <v>4873500</v>
      </c>
      <c r="K546" s="2">
        <f t="shared" si="48"/>
        <v>4246501.2758562975</v>
      </c>
    </row>
    <row r="547" spans="5:11" x14ac:dyDescent="0.25">
      <c r="E547">
        <v>0.54100000000000004</v>
      </c>
      <c r="F547" s="2">
        <f t="shared" si="49"/>
        <v>27050.003450130138</v>
      </c>
      <c r="G547" s="2">
        <f t="shared" si="50"/>
        <v>9738001.2420468498</v>
      </c>
      <c r="H547" s="26">
        <f t="shared" si="51"/>
        <v>9138001.2420468498</v>
      </c>
      <c r="I547" s="26">
        <f t="shared" si="53"/>
        <v>17999.966190552339</v>
      </c>
      <c r="J547" s="26">
        <f t="shared" si="52"/>
        <v>4882525</v>
      </c>
      <c r="K547" s="2">
        <f t="shared" si="48"/>
        <v>4255476.2420468498</v>
      </c>
    </row>
    <row r="548" spans="5:11" x14ac:dyDescent="0.25">
      <c r="E548">
        <v>0.54200000000000004</v>
      </c>
      <c r="F548" s="2">
        <f t="shared" si="49"/>
        <v>27100.00335869992</v>
      </c>
      <c r="G548" s="2">
        <f t="shared" si="50"/>
        <v>9756001.209131971</v>
      </c>
      <c r="H548" s="26">
        <f t="shared" si="51"/>
        <v>9156001.209131971</v>
      </c>
      <c r="I548" s="26">
        <f t="shared" si="53"/>
        <v>17999.967085121199</v>
      </c>
      <c r="J548" s="26">
        <f t="shared" si="52"/>
        <v>4891550</v>
      </c>
      <c r="K548" s="2">
        <f t="shared" si="48"/>
        <v>4264451.209131971</v>
      </c>
    </row>
    <row r="549" spans="5:11" x14ac:dyDescent="0.25">
      <c r="E549">
        <v>0.54300000000000004</v>
      </c>
      <c r="F549" s="2">
        <f t="shared" si="49"/>
        <v>27150.003269689001</v>
      </c>
      <c r="G549" s="2">
        <f t="shared" si="50"/>
        <v>9774001.1770880409</v>
      </c>
      <c r="H549" s="26">
        <f t="shared" si="51"/>
        <v>9174001.1770880409</v>
      </c>
      <c r="I549" s="26">
        <f t="shared" si="53"/>
        <v>17999.967956069857</v>
      </c>
      <c r="J549" s="26">
        <f t="shared" si="52"/>
        <v>4900575</v>
      </c>
      <c r="K549" s="2">
        <f t="shared" si="48"/>
        <v>4273426.1770880409</v>
      </c>
    </row>
    <row r="550" spans="5:11" x14ac:dyDescent="0.25">
      <c r="E550">
        <v>0.54400000000000004</v>
      </c>
      <c r="F550" s="2">
        <f t="shared" si="49"/>
        <v>27200.003183033499</v>
      </c>
      <c r="G550" s="2">
        <f t="shared" si="50"/>
        <v>9792001.1458920594</v>
      </c>
      <c r="H550" s="26">
        <f t="shared" si="51"/>
        <v>9192001.1458920594</v>
      </c>
      <c r="I550" s="26">
        <f t="shared" si="53"/>
        <v>17999.968804018572</v>
      </c>
      <c r="J550" s="26">
        <f t="shared" si="52"/>
        <v>4909600</v>
      </c>
      <c r="K550" s="2">
        <f t="shared" si="48"/>
        <v>4282401.1458920594</v>
      </c>
    </row>
    <row r="551" spans="5:11" x14ac:dyDescent="0.25">
      <c r="E551">
        <v>0.54500000000000004</v>
      </c>
      <c r="F551" s="2">
        <f t="shared" si="49"/>
        <v>27250.003098671223</v>
      </c>
      <c r="G551" s="2">
        <f t="shared" si="50"/>
        <v>9810001.1155216396</v>
      </c>
      <c r="H551" s="26">
        <f t="shared" si="51"/>
        <v>9210001.1155216396</v>
      </c>
      <c r="I551" s="26">
        <f t="shared" si="53"/>
        <v>17999.969629580155</v>
      </c>
      <c r="J551" s="26">
        <f t="shared" si="52"/>
        <v>4918625</v>
      </c>
      <c r="K551" s="2">
        <f t="shared" si="48"/>
        <v>4291376.1155216396</v>
      </c>
    </row>
    <row r="552" spans="5:11" x14ac:dyDescent="0.25">
      <c r="E552">
        <v>0.54600000000000004</v>
      </c>
      <c r="F552" s="2">
        <f t="shared" si="49"/>
        <v>27300.00301654161</v>
      </c>
      <c r="G552" s="2">
        <f t="shared" si="50"/>
        <v>9828001.0859549791</v>
      </c>
      <c r="H552" s="26">
        <f t="shared" si="51"/>
        <v>9228001.0859549791</v>
      </c>
      <c r="I552" s="26">
        <f t="shared" si="53"/>
        <v>17999.970433339477</v>
      </c>
      <c r="J552" s="26">
        <f t="shared" si="52"/>
        <v>4927650</v>
      </c>
      <c r="K552" s="2">
        <f t="shared" si="48"/>
        <v>4300351.0859549791</v>
      </c>
    </row>
    <row r="553" spans="5:11" x14ac:dyDescent="0.25">
      <c r="E553">
        <v>0.54700000000000004</v>
      </c>
      <c r="F553" s="2">
        <f t="shared" si="49"/>
        <v>27350.002936585686</v>
      </c>
      <c r="G553" s="2">
        <f t="shared" si="50"/>
        <v>9846001.0571708474</v>
      </c>
      <c r="H553" s="26">
        <f t="shared" si="51"/>
        <v>9246001.0571708474</v>
      </c>
      <c r="I553" s="26">
        <f t="shared" si="53"/>
        <v>17999.971215868369</v>
      </c>
      <c r="J553" s="26">
        <f t="shared" si="52"/>
        <v>4936675</v>
      </c>
      <c r="K553" s="2">
        <f t="shared" si="48"/>
        <v>4309326.0571708474</v>
      </c>
    </row>
    <row r="554" spans="5:11" x14ac:dyDescent="0.25">
      <c r="E554">
        <v>0.54800000000000004</v>
      </c>
      <c r="F554" s="2">
        <f t="shared" si="49"/>
        <v>27400.002858746037</v>
      </c>
      <c r="G554" s="2">
        <f t="shared" si="50"/>
        <v>9864001.0291485731</v>
      </c>
      <c r="H554" s="26">
        <f t="shared" si="51"/>
        <v>9264001.0291485731</v>
      </c>
      <c r="I554" s="26">
        <f t="shared" si="53"/>
        <v>17999.971977725625</v>
      </c>
      <c r="J554" s="26">
        <f t="shared" si="52"/>
        <v>4945700</v>
      </c>
      <c r="K554" s="2">
        <f t="shared" si="48"/>
        <v>4318301.0291485731</v>
      </c>
    </row>
    <row r="555" spans="5:11" x14ac:dyDescent="0.25">
      <c r="E555">
        <v>0.54900000000000004</v>
      </c>
      <c r="F555" s="2">
        <f t="shared" si="49"/>
        <v>27450.002782966782</v>
      </c>
      <c r="G555" s="2">
        <f t="shared" si="50"/>
        <v>9882001.0018680412</v>
      </c>
      <c r="H555" s="26">
        <f t="shared" si="51"/>
        <v>9282001.0018680412</v>
      </c>
      <c r="I555" s="26">
        <f t="shared" si="53"/>
        <v>17999.972719468176</v>
      </c>
      <c r="J555" s="26">
        <f t="shared" si="52"/>
        <v>4954725</v>
      </c>
      <c r="K555" s="2">
        <f t="shared" si="48"/>
        <v>4327276.0018680412</v>
      </c>
    </row>
    <row r="556" spans="5:11" x14ac:dyDescent="0.25">
      <c r="E556">
        <v>0.55000000000000004</v>
      </c>
      <c r="F556" s="2">
        <f t="shared" si="49"/>
        <v>27500.002709193472</v>
      </c>
      <c r="G556" s="2">
        <f t="shared" si="50"/>
        <v>9900000.9753096495</v>
      </c>
      <c r="H556" s="26">
        <f t="shared" si="51"/>
        <v>9300000.9753096495</v>
      </c>
      <c r="I556" s="26">
        <f t="shared" si="53"/>
        <v>17999.97344160825</v>
      </c>
      <c r="J556" s="26">
        <f t="shared" si="52"/>
        <v>4963750</v>
      </c>
      <c r="K556" s="2">
        <f t="shared" si="48"/>
        <v>4336250.9753096495</v>
      </c>
    </row>
    <row r="557" spans="5:11" x14ac:dyDescent="0.25">
      <c r="E557">
        <v>0.55100000000000005</v>
      </c>
      <c r="F557" s="2">
        <f t="shared" si="49"/>
        <v>27550.002637373116</v>
      </c>
      <c r="G557" s="2">
        <f t="shared" si="50"/>
        <v>9918000.9494543225</v>
      </c>
      <c r="H557" s="26">
        <f t="shared" si="51"/>
        <v>9318000.9494543225</v>
      </c>
      <c r="I557" s="26">
        <f t="shared" si="53"/>
        <v>17999.974144672975</v>
      </c>
      <c r="J557" s="26">
        <f t="shared" si="52"/>
        <v>4972775</v>
      </c>
      <c r="K557" s="2">
        <f t="shared" si="48"/>
        <v>4345225.9494543225</v>
      </c>
    </row>
    <row r="558" spans="5:11" x14ac:dyDescent="0.25">
      <c r="E558">
        <v>0.55200000000000005</v>
      </c>
      <c r="F558" s="2">
        <f t="shared" si="49"/>
        <v>27600.002567454125</v>
      </c>
      <c r="G558" s="2">
        <f t="shared" si="50"/>
        <v>9936000.9242834859</v>
      </c>
      <c r="H558" s="26">
        <f t="shared" si="51"/>
        <v>9336000.9242834859</v>
      </c>
      <c r="I558" s="26">
        <f t="shared" si="53"/>
        <v>17999.974829163402</v>
      </c>
      <c r="J558" s="26">
        <f t="shared" si="52"/>
        <v>4981800</v>
      </c>
      <c r="K558" s="2">
        <f t="shared" si="48"/>
        <v>4354200.9242834859</v>
      </c>
    </row>
    <row r="559" spans="5:11" x14ac:dyDescent="0.25">
      <c r="E559">
        <v>0.55300000000000005</v>
      </c>
      <c r="F559" s="2">
        <f t="shared" si="49"/>
        <v>27650.002499386246</v>
      </c>
      <c r="G559" s="2">
        <f t="shared" si="50"/>
        <v>9954000.8997790478</v>
      </c>
      <c r="H559" s="26">
        <f t="shared" si="51"/>
        <v>9354000.8997790478</v>
      </c>
      <c r="I559" s="26">
        <f t="shared" si="53"/>
        <v>17999.975495561957</v>
      </c>
      <c r="J559" s="26">
        <f t="shared" si="52"/>
        <v>4990825</v>
      </c>
      <c r="K559" s="2">
        <f t="shared" si="48"/>
        <v>4363175.8997790478</v>
      </c>
    </row>
    <row r="560" spans="5:11" x14ac:dyDescent="0.25">
      <c r="E560">
        <v>0.55400000000000005</v>
      </c>
      <c r="F560" s="2">
        <f t="shared" si="49"/>
        <v>27700.002433120579</v>
      </c>
      <c r="G560" s="2">
        <f t="shared" si="50"/>
        <v>9972000.8759234082</v>
      </c>
      <c r="H560" s="26">
        <f t="shared" si="51"/>
        <v>9372000.8759234082</v>
      </c>
      <c r="I560" s="26">
        <f t="shared" si="53"/>
        <v>17999.976144360378</v>
      </c>
      <c r="J560" s="26">
        <f t="shared" si="52"/>
        <v>4999850</v>
      </c>
      <c r="K560" s="2">
        <f t="shared" si="48"/>
        <v>4372150.8759234082</v>
      </c>
    </row>
    <row r="561" spans="5:11" x14ac:dyDescent="0.25">
      <c r="E561">
        <v>0.55500000000000005</v>
      </c>
      <c r="F561" s="2">
        <f t="shared" si="49"/>
        <v>27750.00236860949</v>
      </c>
      <c r="G561" s="2">
        <f t="shared" si="50"/>
        <v>9990000.8526994158</v>
      </c>
      <c r="H561" s="26">
        <f t="shared" si="51"/>
        <v>9390000.8526994158</v>
      </c>
      <c r="I561" s="26">
        <f t="shared" si="53"/>
        <v>17999.976776007563</v>
      </c>
      <c r="J561" s="26">
        <f t="shared" si="52"/>
        <v>5008875.0000000009</v>
      </c>
      <c r="K561" s="2">
        <f t="shared" si="48"/>
        <v>4381125.8526994148</v>
      </c>
    </row>
    <row r="562" spans="5:11" x14ac:dyDescent="0.25">
      <c r="E562">
        <v>0.55600000000000005</v>
      </c>
      <c r="F562" s="2">
        <f t="shared" si="49"/>
        <v>27800.002305806607</v>
      </c>
      <c r="G562" s="2">
        <f t="shared" si="50"/>
        <v>10008000.830090379</v>
      </c>
      <c r="H562" s="26">
        <f t="shared" si="51"/>
        <v>9408000.8300903793</v>
      </c>
      <c r="I562" s="26">
        <f t="shared" si="53"/>
        <v>17999.977390963584</v>
      </c>
      <c r="J562" s="26">
        <f t="shared" si="52"/>
        <v>5017900.0000000009</v>
      </c>
      <c r="K562" s="2">
        <f t="shared" si="48"/>
        <v>4390100.8300903784</v>
      </c>
    </row>
    <row r="563" spans="5:11" x14ac:dyDescent="0.25">
      <c r="E563">
        <v>0.55700000000000005</v>
      </c>
      <c r="F563" s="2">
        <f t="shared" si="49"/>
        <v>27850.00224466679</v>
      </c>
      <c r="G563" s="2">
        <f t="shared" si="50"/>
        <v>10026000.808080044</v>
      </c>
      <c r="H563" s="26">
        <f t="shared" si="51"/>
        <v>9426000.8080800436</v>
      </c>
      <c r="I563" s="26">
        <f t="shared" si="53"/>
        <v>17999.977989664301</v>
      </c>
      <c r="J563" s="26">
        <f t="shared" si="52"/>
        <v>5026925.0000000009</v>
      </c>
      <c r="K563" s="2">
        <f t="shared" si="48"/>
        <v>4399075.8080800427</v>
      </c>
    </row>
    <row r="564" spans="5:11" x14ac:dyDescent="0.25">
      <c r="E564">
        <v>0.55800000000000005</v>
      </c>
      <c r="F564" s="2">
        <f t="shared" si="49"/>
        <v>27900.002185146084</v>
      </c>
      <c r="G564" s="2">
        <f t="shared" si="50"/>
        <v>10044000.786652591</v>
      </c>
      <c r="H564" s="26">
        <f t="shared" si="51"/>
        <v>9444000.7866525911</v>
      </c>
      <c r="I564" s="26">
        <f t="shared" si="53"/>
        <v>17999.978572547436</v>
      </c>
      <c r="J564" s="26">
        <f t="shared" si="52"/>
        <v>5035950.0000000009</v>
      </c>
      <c r="K564" s="2">
        <f t="shared" si="48"/>
        <v>4408050.7866525901</v>
      </c>
    </row>
    <row r="565" spans="5:11" x14ac:dyDescent="0.25">
      <c r="E565">
        <v>0.55900000000000005</v>
      </c>
      <c r="F565" s="2">
        <f t="shared" si="49"/>
        <v>27950.002127201671</v>
      </c>
      <c r="G565" s="2">
        <f t="shared" si="50"/>
        <v>10062000.765792601</v>
      </c>
      <c r="H565" s="26">
        <f t="shared" si="51"/>
        <v>9462000.7657926008</v>
      </c>
      <c r="I565" s="26">
        <f t="shared" si="53"/>
        <v>17999.979140009731</v>
      </c>
      <c r="J565" s="26">
        <f t="shared" si="52"/>
        <v>5044975.0000000009</v>
      </c>
      <c r="K565" s="2">
        <f t="shared" si="48"/>
        <v>4417025.7657925999</v>
      </c>
    </row>
    <row r="566" spans="5:11" x14ac:dyDescent="0.25">
      <c r="E566">
        <v>0.56000000000000005</v>
      </c>
      <c r="F566" s="2">
        <f t="shared" si="49"/>
        <v>28000.002070791896</v>
      </c>
      <c r="G566" s="2">
        <f t="shared" si="50"/>
        <v>10080000.745485082</v>
      </c>
      <c r="H566" s="26">
        <f t="shared" si="51"/>
        <v>9480000.7454850823</v>
      </c>
      <c r="I566" s="26">
        <f t="shared" si="53"/>
        <v>17999.979692481458</v>
      </c>
      <c r="J566" s="26">
        <f t="shared" si="52"/>
        <v>5054000.0000000009</v>
      </c>
      <c r="K566" s="2">
        <f t="shared" si="48"/>
        <v>4426000.7454850813</v>
      </c>
    </row>
    <row r="567" spans="5:11" x14ac:dyDescent="0.25">
      <c r="E567">
        <v>0.56100000000000005</v>
      </c>
      <c r="F567" s="2">
        <f t="shared" si="49"/>
        <v>28050.002015876187</v>
      </c>
      <c r="G567" s="2">
        <f t="shared" si="50"/>
        <v>10098000.725715427</v>
      </c>
      <c r="H567" s="26">
        <f t="shared" si="51"/>
        <v>9498000.7257154267</v>
      </c>
      <c r="I567" s="26">
        <f t="shared" si="53"/>
        <v>17999.980230344459</v>
      </c>
      <c r="J567" s="26">
        <f t="shared" si="52"/>
        <v>5063025.0000000009</v>
      </c>
      <c r="K567" s="2">
        <f t="shared" si="48"/>
        <v>4434975.7257154258</v>
      </c>
    </row>
    <row r="568" spans="5:11" x14ac:dyDescent="0.25">
      <c r="E568">
        <v>0.56200000000000006</v>
      </c>
      <c r="F568" s="2">
        <f t="shared" si="49"/>
        <v>28100.001962415041</v>
      </c>
      <c r="G568" s="2">
        <f t="shared" si="50"/>
        <v>10116000.706469415</v>
      </c>
      <c r="H568" s="26">
        <f t="shared" si="51"/>
        <v>9516000.7064694148</v>
      </c>
      <c r="I568" s="26">
        <f t="shared" si="53"/>
        <v>17999.980753988028</v>
      </c>
      <c r="J568" s="26">
        <f t="shared" si="52"/>
        <v>5072050.0000000009</v>
      </c>
      <c r="K568" s="2">
        <f t="shared" si="48"/>
        <v>4443950.7064694138</v>
      </c>
    </row>
    <row r="569" spans="5:11" x14ac:dyDescent="0.25">
      <c r="E569">
        <v>0.56299999999999994</v>
      </c>
      <c r="F569" s="2">
        <f t="shared" si="49"/>
        <v>28150.001910369989</v>
      </c>
      <c r="G569" s="2">
        <f t="shared" si="50"/>
        <v>10134000.687733196</v>
      </c>
      <c r="H569" s="26">
        <f t="shared" si="51"/>
        <v>9534000.6877331957</v>
      </c>
      <c r="I569" s="26">
        <f t="shared" si="53"/>
        <v>17999.981263780966</v>
      </c>
      <c r="J569" s="26">
        <f t="shared" si="52"/>
        <v>5081074.9999999991</v>
      </c>
      <c r="K569" s="2">
        <f t="shared" si="48"/>
        <v>4452925.6877331967</v>
      </c>
    </row>
    <row r="570" spans="5:11" x14ac:dyDescent="0.25">
      <c r="E570">
        <v>0.56399999999999995</v>
      </c>
      <c r="F570" s="2">
        <f t="shared" si="49"/>
        <v>28200.001859703596</v>
      </c>
      <c r="G570" s="2">
        <f t="shared" si="50"/>
        <v>10152000.669493295</v>
      </c>
      <c r="H570" s="26">
        <f t="shared" si="51"/>
        <v>9552000.6694932953</v>
      </c>
      <c r="I570" s="26">
        <f t="shared" si="53"/>
        <v>17999.98176009953</v>
      </c>
      <c r="J570" s="26">
        <f t="shared" si="52"/>
        <v>5090099.9999999991</v>
      </c>
      <c r="K570" s="2">
        <f t="shared" si="48"/>
        <v>4461900.6694932962</v>
      </c>
    </row>
    <row r="571" spans="5:11" x14ac:dyDescent="0.25">
      <c r="E571">
        <v>0.56499999999999995</v>
      </c>
      <c r="F571" s="2">
        <f t="shared" si="49"/>
        <v>28250.00181037941</v>
      </c>
      <c r="G571" s="2">
        <f t="shared" si="50"/>
        <v>10170000.651736587</v>
      </c>
      <c r="H571" s="26">
        <f t="shared" si="51"/>
        <v>9570000.6517365873</v>
      </c>
      <c r="I571" s="26">
        <f t="shared" si="53"/>
        <v>17999.982243292034</v>
      </c>
      <c r="J571" s="26">
        <f t="shared" si="52"/>
        <v>5099124.9999999991</v>
      </c>
      <c r="K571" s="2">
        <f t="shared" si="48"/>
        <v>4470875.6517365882</v>
      </c>
    </row>
    <row r="572" spans="5:11" x14ac:dyDescent="0.25">
      <c r="E572">
        <v>0.56599999999999995</v>
      </c>
      <c r="F572" s="2">
        <f t="shared" si="49"/>
        <v>28300.001762361928</v>
      </c>
      <c r="G572" s="2">
        <f t="shared" si="50"/>
        <v>10188000.634450294</v>
      </c>
      <c r="H572" s="26">
        <f t="shared" si="51"/>
        <v>9588000.6344502941</v>
      </c>
      <c r="I572" s="26">
        <f t="shared" si="53"/>
        <v>17999.982713706791</v>
      </c>
      <c r="J572" s="26">
        <f t="shared" si="52"/>
        <v>5108149.9999999991</v>
      </c>
      <c r="K572" s="2">
        <f t="shared" si="48"/>
        <v>4479850.634450295</v>
      </c>
    </row>
    <row r="573" spans="5:11" x14ac:dyDescent="0.25">
      <c r="E573">
        <v>0.56699999999999995</v>
      </c>
      <c r="F573" s="2">
        <f t="shared" si="49"/>
        <v>28350.001715616589</v>
      </c>
      <c r="G573" s="2">
        <f t="shared" si="50"/>
        <v>10206000.617621971</v>
      </c>
      <c r="H573" s="26">
        <f t="shared" si="51"/>
        <v>9606000.6176219713</v>
      </c>
      <c r="I573" s="26">
        <f t="shared" si="53"/>
        <v>17999.983171677217</v>
      </c>
      <c r="J573" s="26">
        <f t="shared" si="52"/>
        <v>5117174.9999999991</v>
      </c>
      <c r="K573" s="2">
        <f t="shared" si="48"/>
        <v>4488825.6176219722</v>
      </c>
    </row>
    <row r="574" spans="5:11" x14ac:dyDescent="0.25">
      <c r="E574">
        <v>0.56799999999999995</v>
      </c>
      <c r="F574" s="2">
        <f t="shared" si="49"/>
        <v>28400.001670109748</v>
      </c>
      <c r="G574" s="2">
        <f t="shared" si="50"/>
        <v>10224000.60123951</v>
      </c>
      <c r="H574" s="26">
        <f t="shared" si="51"/>
        <v>9624000.6012395099</v>
      </c>
      <c r="I574" s="26">
        <f t="shared" si="53"/>
        <v>17999.983617538586</v>
      </c>
      <c r="J574" s="26">
        <f t="shared" si="52"/>
        <v>5126199.9999999991</v>
      </c>
      <c r="K574" s="2">
        <f t="shared" si="48"/>
        <v>4497800.6012395108</v>
      </c>
    </row>
    <row r="575" spans="5:11" x14ac:dyDescent="0.25">
      <c r="E575">
        <v>0.56899999999999995</v>
      </c>
      <c r="F575" s="2">
        <f t="shared" si="49"/>
        <v>28450.001625808643</v>
      </c>
      <c r="G575" s="2">
        <f t="shared" si="50"/>
        <v>10242000.585291112</v>
      </c>
      <c r="H575" s="26">
        <f t="shared" si="51"/>
        <v>9642000.5852911118</v>
      </c>
      <c r="I575" s="26">
        <f t="shared" si="53"/>
        <v>17999.984051601961</v>
      </c>
      <c r="J575" s="26">
        <f t="shared" si="52"/>
        <v>5135224.9999999991</v>
      </c>
      <c r="K575" s="2">
        <f t="shared" si="48"/>
        <v>4506775.5852911128</v>
      </c>
    </row>
    <row r="576" spans="5:11" x14ac:dyDescent="0.25">
      <c r="E576">
        <v>0.56999999999999995</v>
      </c>
      <c r="F576" s="2">
        <f t="shared" si="49"/>
        <v>28500.00158268138</v>
      </c>
      <c r="G576" s="2">
        <f t="shared" si="50"/>
        <v>10260000.569765296</v>
      </c>
      <c r="H576" s="26">
        <f t="shared" si="51"/>
        <v>9660000.5697652958</v>
      </c>
      <c r="I576" s="26">
        <f t="shared" si="53"/>
        <v>17999.984474183992</v>
      </c>
      <c r="J576" s="26">
        <f t="shared" si="52"/>
        <v>5144249.9999999991</v>
      </c>
      <c r="K576" s="2">
        <f t="shared" si="48"/>
        <v>4515750.5697652968</v>
      </c>
    </row>
    <row r="577" spans="5:11" x14ac:dyDescent="0.25">
      <c r="E577">
        <v>0.57099999999999995</v>
      </c>
      <c r="F577" s="2">
        <f t="shared" si="49"/>
        <v>28550.001540696911</v>
      </c>
      <c r="G577" s="2">
        <f t="shared" si="50"/>
        <v>10278000.554650888</v>
      </c>
      <c r="H577" s="26">
        <f t="shared" si="51"/>
        <v>9678000.5546508878</v>
      </c>
      <c r="I577" s="26">
        <f t="shared" si="53"/>
        <v>17999.984885592014</v>
      </c>
      <c r="J577" s="26">
        <f t="shared" si="52"/>
        <v>5153275</v>
      </c>
      <c r="K577" s="2">
        <f t="shared" si="48"/>
        <v>4524725.5546508878</v>
      </c>
    </row>
    <row r="578" spans="5:11" x14ac:dyDescent="0.25">
      <c r="E578">
        <v>0.57199999999999995</v>
      </c>
      <c r="F578" s="2">
        <f t="shared" si="49"/>
        <v>28600.001499825001</v>
      </c>
      <c r="G578" s="2">
        <f t="shared" si="50"/>
        <v>10296000.539937001</v>
      </c>
      <c r="H578" s="26">
        <f t="shared" si="51"/>
        <v>9696000.5399370007</v>
      </c>
      <c r="I578" s="26">
        <f t="shared" si="53"/>
        <v>17999.985286112875</v>
      </c>
      <c r="J578" s="26">
        <f t="shared" si="52"/>
        <v>5162300</v>
      </c>
      <c r="K578" s="2">
        <f t="shared" si="48"/>
        <v>4533700.5399370007</v>
      </c>
    </row>
    <row r="579" spans="5:11" x14ac:dyDescent="0.25">
      <c r="E579">
        <v>0.57299999999999995</v>
      </c>
      <c r="F579" s="2">
        <f t="shared" si="49"/>
        <v>28650.001460036205</v>
      </c>
      <c r="G579" s="2">
        <f t="shared" si="50"/>
        <v>10314000.525613034</v>
      </c>
      <c r="H579" s="26">
        <f t="shared" si="51"/>
        <v>9714000.5256130341</v>
      </c>
      <c r="I579" s="26">
        <f t="shared" si="53"/>
        <v>17999.985676033422</v>
      </c>
      <c r="J579" s="26">
        <f t="shared" si="52"/>
        <v>5171325</v>
      </c>
      <c r="K579" s="2">
        <f t="shared" si="48"/>
        <v>4542675.5256130341</v>
      </c>
    </row>
    <row r="580" spans="5:11" x14ac:dyDescent="0.25">
      <c r="E580">
        <v>0.57399999999999995</v>
      </c>
      <c r="F580" s="2">
        <f t="shared" si="49"/>
        <v>28700.001421301877</v>
      </c>
      <c r="G580" s="2">
        <f t="shared" si="50"/>
        <v>10332000.511668677</v>
      </c>
      <c r="H580" s="26">
        <f t="shared" si="51"/>
        <v>9732000.5116686765</v>
      </c>
      <c r="I580" s="26">
        <f t="shared" si="53"/>
        <v>17999.986055642366</v>
      </c>
      <c r="J580" s="26">
        <f t="shared" si="52"/>
        <v>5180350</v>
      </c>
      <c r="K580" s="2">
        <f t="shared" si="48"/>
        <v>4551650.5116686765</v>
      </c>
    </row>
    <row r="581" spans="5:11" x14ac:dyDescent="0.25">
      <c r="E581">
        <v>0.57499999999999996</v>
      </c>
      <c r="F581" s="2">
        <f t="shared" si="49"/>
        <v>28750.00138359411</v>
      </c>
      <c r="G581" s="2">
        <f t="shared" si="50"/>
        <v>10350000.498093879</v>
      </c>
      <c r="H581" s="26">
        <f t="shared" si="51"/>
        <v>9750000.4980938789</v>
      </c>
      <c r="I581" s="26">
        <f t="shared" si="53"/>
        <v>17999.98642520234</v>
      </c>
      <c r="J581" s="26">
        <f t="shared" si="52"/>
        <v>5189375</v>
      </c>
      <c r="K581" s="2">
        <f t="shared" si="48"/>
        <v>4560625.4980938789</v>
      </c>
    </row>
    <row r="582" spans="5:11" x14ac:dyDescent="0.25">
      <c r="E582">
        <v>0.57599999999999996</v>
      </c>
      <c r="F582" s="2">
        <f t="shared" si="49"/>
        <v>28800.001346885736</v>
      </c>
      <c r="G582" s="2">
        <f t="shared" si="50"/>
        <v>10368000.484878864</v>
      </c>
      <c r="H582" s="26">
        <f t="shared" si="51"/>
        <v>9768000.4848788641</v>
      </c>
      <c r="I582" s="26">
        <f t="shared" si="53"/>
        <v>17999.986784985289</v>
      </c>
      <c r="J582" s="26">
        <f t="shared" si="52"/>
        <v>5198400</v>
      </c>
      <c r="K582" s="2">
        <f t="shared" ref="K582:K645" si="54">H582-J582</f>
        <v>4569600.4848788641</v>
      </c>
    </row>
    <row r="583" spans="5:11" x14ac:dyDescent="0.25">
      <c r="E583">
        <v>0.57699999999999996</v>
      </c>
      <c r="F583" s="2">
        <f t="shared" ref="F583:F646" si="55">PMT(E583/12,$C$7,-$C$6,0,0)</f>
        <v>28850.001311150314</v>
      </c>
      <c r="G583" s="2">
        <f t="shared" ref="G583:G646" si="56">360*F583</f>
        <v>10386000.472014112</v>
      </c>
      <c r="H583" s="26">
        <f t="shared" ref="H583:H646" si="57">360*F583-$C$6</f>
        <v>9786000.4720141124</v>
      </c>
      <c r="I583" s="26">
        <f t="shared" si="53"/>
        <v>17999.987135248259</v>
      </c>
      <c r="J583" s="26">
        <f t="shared" ref="J583:J646" si="58">$C$6*E583/12*($C$7+1)/2</f>
        <v>5207425</v>
      </c>
      <c r="K583" s="2">
        <f t="shared" si="54"/>
        <v>4578575.4720141124</v>
      </c>
    </row>
    <row r="584" spans="5:11" x14ac:dyDescent="0.25">
      <c r="E584">
        <v>0.57799999999999996</v>
      </c>
      <c r="F584" s="2">
        <f t="shared" si="55"/>
        <v>28900.001276362091</v>
      </c>
      <c r="G584" s="2">
        <f t="shared" si="56"/>
        <v>10404000.459490353</v>
      </c>
      <c r="H584" s="26">
        <f t="shared" si="57"/>
        <v>9804000.4594903532</v>
      </c>
      <c r="I584" s="26">
        <f t="shared" si="53"/>
        <v>17999.987476240844</v>
      </c>
      <c r="J584" s="26">
        <f t="shared" si="58"/>
        <v>5216450</v>
      </c>
      <c r="K584" s="2">
        <f t="shared" si="54"/>
        <v>4587550.4594903532</v>
      </c>
    </row>
    <row r="585" spans="5:11" x14ac:dyDescent="0.25">
      <c r="E585">
        <v>0.57899999999999996</v>
      </c>
      <c r="F585" s="2">
        <f t="shared" si="55"/>
        <v>28950.001242496</v>
      </c>
      <c r="G585" s="2">
        <f t="shared" si="56"/>
        <v>10422000.44729856</v>
      </c>
      <c r="H585" s="26">
        <f t="shared" si="57"/>
        <v>9822000.4472985603</v>
      </c>
      <c r="I585" s="26">
        <f t="shared" ref="I585:I648" si="59">H585-H584</f>
        <v>17999.98780820705</v>
      </c>
      <c r="J585" s="26">
        <f t="shared" si="58"/>
        <v>5225475</v>
      </c>
      <c r="K585" s="2">
        <f t="shared" si="54"/>
        <v>4596525.4472985603</v>
      </c>
    </row>
    <row r="586" spans="5:11" x14ac:dyDescent="0.25">
      <c r="E586">
        <v>0.57999999999999996</v>
      </c>
      <c r="F586" s="2">
        <f t="shared" si="55"/>
        <v>29000.001209527632</v>
      </c>
      <c r="G586" s="2">
        <f t="shared" si="56"/>
        <v>10440000.435429947</v>
      </c>
      <c r="H586" s="26">
        <f t="shared" si="57"/>
        <v>9840000.4354299475</v>
      </c>
      <c r="I586" s="26">
        <f t="shared" si="59"/>
        <v>17999.988131387159</v>
      </c>
      <c r="J586" s="26">
        <f t="shared" si="58"/>
        <v>5234500</v>
      </c>
      <c r="K586" s="2">
        <f t="shared" si="54"/>
        <v>4605500.4354299475</v>
      </c>
    </row>
    <row r="587" spans="5:11" x14ac:dyDescent="0.25">
      <c r="E587">
        <v>0.58099999999999996</v>
      </c>
      <c r="F587" s="2">
        <f t="shared" si="55"/>
        <v>29050.001177433223</v>
      </c>
      <c r="G587" s="2">
        <f t="shared" si="56"/>
        <v>10458000.42387596</v>
      </c>
      <c r="H587" s="26">
        <f t="shared" si="57"/>
        <v>9858000.4238759596</v>
      </c>
      <c r="I587" s="26">
        <f t="shared" si="59"/>
        <v>17999.988446012139</v>
      </c>
      <c r="J587" s="26">
        <f t="shared" si="58"/>
        <v>5243525</v>
      </c>
      <c r="K587" s="2">
        <f t="shared" si="54"/>
        <v>4614475.4238759596</v>
      </c>
    </row>
    <row r="588" spans="5:11" x14ac:dyDescent="0.25">
      <c r="E588">
        <v>0.58199999999999996</v>
      </c>
      <c r="F588" s="2">
        <f t="shared" si="55"/>
        <v>29100.001146189632</v>
      </c>
      <c r="G588" s="2">
        <f t="shared" si="56"/>
        <v>10476000.412628267</v>
      </c>
      <c r="H588" s="26">
        <f t="shared" si="57"/>
        <v>9876000.412628267</v>
      </c>
      <c r="I588" s="26">
        <f t="shared" si="59"/>
        <v>17999.98875230737</v>
      </c>
      <c r="J588" s="26">
        <f t="shared" si="58"/>
        <v>5252550</v>
      </c>
      <c r="K588" s="2">
        <f t="shared" si="54"/>
        <v>4623450.412628267</v>
      </c>
    </row>
    <row r="589" spans="5:11" x14ac:dyDescent="0.25">
      <c r="E589">
        <v>0.58299999999999996</v>
      </c>
      <c r="F589" s="2">
        <f t="shared" si="55"/>
        <v>29150.001115774357</v>
      </c>
      <c r="G589" s="2">
        <f t="shared" si="56"/>
        <v>10494000.401678769</v>
      </c>
      <c r="H589" s="26">
        <f t="shared" si="57"/>
        <v>9894000.4016787689</v>
      </c>
      <c r="I589" s="26">
        <f t="shared" si="59"/>
        <v>17999.989050501958</v>
      </c>
      <c r="J589" s="26">
        <f t="shared" si="58"/>
        <v>5261575</v>
      </c>
      <c r="K589" s="2">
        <f t="shared" si="54"/>
        <v>4632425.4016787689</v>
      </c>
    </row>
    <row r="590" spans="5:11" x14ac:dyDescent="0.25">
      <c r="E590">
        <v>0.58399999999999996</v>
      </c>
      <c r="F590" s="2">
        <f t="shared" si="55"/>
        <v>29200.001086165445</v>
      </c>
      <c r="G590" s="2">
        <f t="shared" si="56"/>
        <v>10512000.39101956</v>
      </c>
      <c r="H590" s="26">
        <f t="shared" si="57"/>
        <v>9912000.3910195604</v>
      </c>
      <c r="I590" s="26">
        <f t="shared" si="59"/>
        <v>17999.989340791479</v>
      </c>
      <c r="J590" s="26">
        <f t="shared" si="58"/>
        <v>5270600</v>
      </c>
      <c r="K590" s="2">
        <f t="shared" si="54"/>
        <v>4641400.3910195604</v>
      </c>
    </row>
    <row r="591" spans="5:11" x14ac:dyDescent="0.25">
      <c r="E591">
        <v>0.58499999999999996</v>
      </c>
      <c r="F591" s="2">
        <f t="shared" si="55"/>
        <v>29250.00105734156</v>
      </c>
      <c r="G591" s="2">
        <f t="shared" si="56"/>
        <v>10530000.380642962</v>
      </c>
      <c r="H591" s="26">
        <f t="shared" si="57"/>
        <v>9930000.3806429617</v>
      </c>
      <c r="I591" s="26">
        <f t="shared" si="59"/>
        <v>17999.989623401314</v>
      </c>
      <c r="J591" s="26">
        <f t="shared" si="58"/>
        <v>5279625</v>
      </c>
      <c r="K591" s="2">
        <f t="shared" si="54"/>
        <v>4650375.3806429617</v>
      </c>
    </row>
    <row r="592" spans="5:11" x14ac:dyDescent="0.25">
      <c r="E592">
        <v>0.58599999999999997</v>
      </c>
      <c r="F592" s="2">
        <f t="shared" si="55"/>
        <v>29300.001029281921</v>
      </c>
      <c r="G592" s="2">
        <f t="shared" si="56"/>
        <v>10548000.370541491</v>
      </c>
      <c r="H592" s="26">
        <f t="shared" si="57"/>
        <v>9948000.3705414906</v>
      </c>
      <c r="I592" s="26">
        <f t="shared" si="59"/>
        <v>17999.989898528904</v>
      </c>
      <c r="J592" s="26">
        <f t="shared" si="58"/>
        <v>5288650</v>
      </c>
      <c r="K592" s="2">
        <f t="shared" si="54"/>
        <v>4659350.3705414906</v>
      </c>
    </row>
    <row r="593" spans="5:11" x14ac:dyDescent="0.25">
      <c r="E593">
        <v>0.58699999999999997</v>
      </c>
      <c r="F593" s="2">
        <f t="shared" si="55"/>
        <v>29350.00100196628</v>
      </c>
      <c r="G593" s="2">
        <f t="shared" si="56"/>
        <v>10566000.36070786</v>
      </c>
      <c r="H593" s="26">
        <f t="shared" si="57"/>
        <v>9966000.3607078604</v>
      </c>
      <c r="I593" s="26">
        <f t="shared" si="59"/>
        <v>17999.990166369826</v>
      </c>
      <c r="J593" s="26">
        <f t="shared" si="58"/>
        <v>5297675</v>
      </c>
      <c r="K593" s="2">
        <f t="shared" si="54"/>
        <v>4668325.3607078604</v>
      </c>
    </row>
    <row r="594" spans="5:11" x14ac:dyDescent="0.25">
      <c r="E594">
        <v>0.58799999999999997</v>
      </c>
      <c r="F594" s="2">
        <f t="shared" si="55"/>
        <v>29400.00097537494</v>
      </c>
      <c r="G594" s="2">
        <f t="shared" si="56"/>
        <v>10584000.351134978</v>
      </c>
      <c r="H594" s="26">
        <f t="shared" si="57"/>
        <v>9984000.3511349782</v>
      </c>
      <c r="I594" s="26">
        <f t="shared" si="59"/>
        <v>17999.990427117795</v>
      </c>
      <c r="J594" s="26">
        <f t="shared" si="58"/>
        <v>5306700</v>
      </c>
      <c r="K594" s="2">
        <f t="shared" si="54"/>
        <v>4677300.3511349782</v>
      </c>
    </row>
    <row r="595" spans="5:11" x14ac:dyDescent="0.25">
      <c r="E595">
        <v>0.58899999999999997</v>
      </c>
      <c r="F595" s="2">
        <f t="shared" si="55"/>
        <v>29450.000949488731</v>
      </c>
      <c r="G595" s="2">
        <f t="shared" si="56"/>
        <v>10602000.341815943</v>
      </c>
      <c r="H595" s="26">
        <f t="shared" si="57"/>
        <v>10002000.341815943</v>
      </c>
      <c r="I595" s="26">
        <f t="shared" si="59"/>
        <v>17999.990680964664</v>
      </c>
      <c r="J595" s="26">
        <f t="shared" si="58"/>
        <v>5315725</v>
      </c>
      <c r="K595" s="2">
        <f t="shared" si="54"/>
        <v>4686275.3418159429</v>
      </c>
    </row>
    <row r="596" spans="5:11" x14ac:dyDescent="0.25">
      <c r="E596">
        <v>0.59</v>
      </c>
      <c r="F596" s="2">
        <f t="shared" si="55"/>
        <v>29500.000924288965</v>
      </c>
      <c r="G596" s="2">
        <f t="shared" si="56"/>
        <v>10620000.332744027</v>
      </c>
      <c r="H596" s="26">
        <f t="shared" si="57"/>
        <v>10020000.332744027</v>
      </c>
      <c r="I596" s="26">
        <f t="shared" si="59"/>
        <v>17999.990928083658</v>
      </c>
      <c r="J596" s="26">
        <f t="shared" si="58"/>
        <v>5324750</v>
      </c>
      <c r="K596" s="2">
        <f t="shared" si="54"/>
        <v>4695250.3327440266</v>
      </c>
    </row>
    <row r="597" spans="5:11" x14ac:dyDescent="0.25">
      <c r="E597">
        <v>0.59099999999999997</v>
      </c>
      <c r="F597" s="2">
        <f t="shared" si="55"/>
        <v>29550.000899757466</v>
      </c>
      <c r="G597" s="2">
        <f t="shared" si="56"/>
        <v>10638000.323912688</v>
      </c>
      <c r="H597" s="26">
        <f t="shared" si="57"/>
        <v>10038000.323912688</v>
      </c>
      <c r="I597" s="26">
        <f t="shared" si="59"/>
        <v>17999.991168661043</v>
      </c>
      <c r="J597" s="26">
        <f t="shared" si="58"/>
        <v>5333775</v>
      </c>
      <c r="K597" s="2">
        <f t="shared" si="54"/>
        <v>4704225.3239126876</v>
      </c>
    </row>
    <row r="598" spans="5:11" x14ac:dyDescent="0.25">
      <c r="E598">
        <v>0.59199999999999997</v>
      </c>
      <c r="F598" s="2">
        <f t="shared" si="55"/>
        <v>29600.000875876543</v>
      </c>
      <c r="G598" s="2">
        <f t="shared" si="56"/>
        <v>10656000.315315556</v>
      </c>
      <c r="H598" s="26">
        <f t="shared" si="57"/>
        <v>10056000.315315556</v>
      </c>
      <c r="I598" s="26">
        <f t="shared" si="59"/>
        <v>17999.991402868181</v>
      </c>
      <c r="J598" s="26">
        <f t="shared" si="58"/>
        <v>5342800</v>
      </c>
      <c r="K598" s="2">
        <f t="shared" si="54"/>
        <v>4713200.3153155558</v>
      </c>
    </row>
    <row r="599" spans="5:11" x14ac:dyDescent="0.25">
      <c r="E599">
        <v>0.59299999999999997</v>
      </c>
      <c r="F599" s="2">
        <f t="shared" si="55"/>
        <v>29650.000852628957</v>
      </c>
      <c r="G599" s="2">
        <f t="shared" si="56"/>
        <v>10674000.306946425</v>
      </c>
      <c r="H599" s="26">
        <f t="shared" si="57"/>
        <v>10074000.306946425</v>
      </c>
      <c r="I599" s="26">
        <f t="shared" si="59"/>
        <v>17999.991630868986</v>
      </c>
      <c r="J599" s="26">
        <f t="shared" si="58"/>
        <v>5351825</v>
      </c>
      <c r="K599" s="2">
        <f t="shared" si="54"/>
        <v>4722175.3069464248</v>
      </c>
    </row>
    <row r="600" spans="5:11" x14ac:dyDescent="0.25">
      <c r="E600">
        <v>0.59399999999999997</v>
      </c>
      <c r="F600" s="2">
        <f t="shared" si="55"/>
        <v>29700.000829997931</v>
      </c>
      <c r="G600" s="2">
        <f t="shared" si="56"/>
        <v>10692000.298799256</v>
      </c>
      <c r="H600" s="26">
        <f t="shared" si="57"/>
        <v>10092000.298799256</v>
      </c>
      <c r="I600" s="26">
        <f t="shared" si="59"/>
        <v>17999.991852831095</v>
      </c>
      <c r="J600" s="26">
        <f t="shared" si="58"/>
        <v>5360850</v>
      </c>
      <c r="K600" s="2">
        <f t="shared" si="54"/>
        <v>4731150.2987992559</v>
      </c>
    </row>
    <row r="601" spans="5:11" x14ac:dyDescent="0.25">
      <c r="E601">
        <v>0.59499999999999997</v>
      </c>
      <c r="F601" s="2">
        <f t="shared" si="55"/>
        <v>29750.000807967139</v>
      </c>
      <c r="G601" s="2">
        <f t="shared" si="56"/>
        <v>10710000.290868171</v>
      </c>
      <c r="H601" s="26">
        <f t="shared" si="57"/>
        <v>10110000.290868171</v>
      </c>
      <c r="I601" s="26">
        <f t="shared" si="59"/>
        <v>17999.992068914697</v>
      </c>
      <c r="J601" s="26">
        <f t="shared" si="58"/>
        <v>5369875</v>
      </c>
      <c r="K601" s="2">
        <f t="shared" si="54"/>
        <v>4740125.2908681706</v>
      </c>
    </row>
    <row r="602" spans="5:11" x14ac:dyDescent="0.25">
      <c r="E602">
        <v>0.59599999999999997</v>
      </c>
      <c r="F602" s="2">
        <f t="shared" si="55"/>
        <v>29800.000786520679</v>
      </c>
      <c r="G602" s="2">
        <f t="shared" si="56"/>
        <v>10728000.283147445</v>
      </c>
      <c r="H602" s="26">
        <f t="shared" si="57"/>
        <v>10128000.283147445</v>
      </c>
      <c r="I602" s="26">
        <f t="shared" si="59"/>
        <v>17999.992279274389</v>
      </c>
      <c r="J602" s="26">
        <f t="shared" si="58"/>
        <v>5378900</v>
      </c>
      <c r="K602" s="2">
        <f t="shared" si="54"/>
        <v>4749100.2831474449</v>
      </c>
    </row>
    <row r="603" spans="5:11" x14ac:dyDescent="0.25">
      <c r="E603">
        <v>0.59699999999999998</v>
      </c>
      <c r="F603" s="2">
        <f t="shared" si="55"/>
        <v>29850.000765643068</v>
      </c>
      <c r="G603" s="2">
        <f t="shared" si="56"/>
        <v>10746000.275631504</v>
      </c>
      <c r="H603" s="26">
        <f t="shared" si="57"/>
        <v>10146000.275631504</v>
      </c>
      <c r="I603" s="26">
        <f t="shared" si="59"/>
        <v>17999.992484059185</v>
      </c>
      <c r="J603" s="26">
        <f t="shared" si="58"/>
        <v>5387925</v>
      </c>
      <c r="K603" s="2">
        <f t="shared" si="54"/>
        <v>4758075.2756315041</v>
      </c>
    </row>
    <row r="604" spans="5:11" x14ac:dyDescent="0.25">
      <c r="E604">
        <v>0.59799999999999998</v>
      </c>
      <c r="F604" s="2">
        <f t="shared" si="55"/>
        <v>29900.000745319241</v>
      </c>
      <c r="G604" s="2">
        <f t="shared" si="56"/>
        <v>10764000.268314926</v>
      </c>
      <c r="H604" s="26">
        <f t="shared" si="57"/>
        <v>10164000.268314926</v>
      </c>
      <c r="I604" s="26">
        <f t="shared" si="59"/>
        <v>17999.99268342182</v>
      </c>
      <c r="J604" s="26">
        <f t="shared" si="58"/>
        <v>5396950</v>
      </c>
      <c r="K604" s="2">
        <f t="shared" si="54"/>
        <v>4767050.268314926</v>
      </c>
    </row>
    <row r="605" spans="5:11" x14ac:dyDescent="0.25">
      <c r="E605">
        <v>0.59899999999999998</v>
      </c>
      <c r="F605" s="2">
        <f t="shared" si="55"/>
        <v>29950.000725534515</v>
      </c>
      <c r="G605" s="2">
        <f t="shared" si="56"/>
        <v>10782000.261192426</v>
      </c>
      <c r="H605" s="26">
        <f t="shared" si="57"/>
        <v>10182000.261192426</v>
      </c>
      <c r="I605" s="26">
        <f t="shared" si="59"/>
        <v>17999.992877500132</v>
      </c>
      <c r="J605" s="26">
        <f t="shared" si="58"/>
        <v>5405975</v>
      </c>
      <c r="K605" s="2">
        <f t="shared" si="54"/>
        <v>4776025.2611924261</v>
      </c>
    </row>
    <row r="606" spans="5:11" x14ac:dyDescent="0.25">
      <c r="E606">
        <v>0.6</v>
      </c>
      <c r="F606" s="2">
        <f t="shared" si="55"/>
        <v>30000.000706274619</v>
      </c>
      <c r="G606" s="2">
        <f t="shared" si="56"/>
        <v>10800000.254258864</v>
      </c>
      <c r="H606" s="26">
        <f t="shared" si="57"/>
        <v>10200000.254258864</v>
      </c>
      <c r="I606" s="26">
        <f t="shared" si="59"/>
        <v>17999.993066437542</v>
      </c>
      <c r="J606" s="26">
        <f t="shared" si="58"/>
        <v>5415000</v>
      </c>
      <c r="K606" s="2">
        <f t="shared" si="54"/>
        <v>4785000.2542588636</v>
      </c>
    </row>
    <row r="607" spans="5:11" x14ac:dyDescent="0.25">
      <c r="E607">
        <v>0.60099999999999998</v>
      </c>
      <c r="F607" s="2">
        <f t="shared" si="55"/>
        <v>30050.00068752564</v>
      </c>
      <c r="G607" s="2">
        <f t="shared" si="56"/>
        <v>10818000.24750923</v>
      </c>
      <c r="H607" s="26">
        <f t="shared" si="57"/>
        <v>10218000.24750923</v>
      </c>
      <c r="I607" s="26">
        <f t="shared" si="59"/>
        <v>17999.9932503663</v>
      </c>
      <c r="J607" s="26">
        <f t="shared" si="58"/>
        <v>5424025</v>
      </c>
      <c r="K607" s="2">
        <f t="shared" si="54"/>
        <v>4793975.2475092299</v>
      </c>
    </row>
    <row r="608" spans="5:11" x14ac:dyDescent="0.25">
      <c r="E608">
        <v>0.60199999999999998</v>
      </c>
      <c r="F608" s="2">
        <f t="shared" si="55"/>
        <v>30100.000669274046</v>
      </c>
      <c r="G608" s="2">
        <f t="shared" si="56"/>
        <v>10836000.240938656</v>
      </c>
      <c r="H608" s="26">
        <f t="shared" si="57"/>
        <v>10236000.240938656</v>
      </c>
      <c r="I608" s="26">
        <f t="shared" si="59"/>
        <v>17999.993429426104</v>
      </c>
      <c r="J608" s="26">
        <f t="shared" si="58"/>
        <v>5433050</v>
      </c>
      <c r="K608" s="2">
        <f t="shared" si="54"/>
        <v>4802950.240938656</v>
      </c>
    </row>
    <row r="609" spans="5:11" x14ac:dyDescent="0.25">
      <c r="E609">
        <v>0.60299999999999998</v>
      </c>
      <c r="F609" s="2">
        <f t="shared" si="55"/>
        <v>30150.000651506645</v>
      </c>
      <c r="G609" s="2">
        <f t="shared" si="56"/>
        <v>10854000.234542392</v>
      </c>
      <c r="H609" s="26">
        <f t="shared" si="57"/>
        <v>10254000.234542392</v>
      </c>
      <c r="I609" s="26">
        <f t="shared" si="59"/>
        <v>17999.993603736162</v>
      </c>
      <c r="J609" s="26">
        <f t="shared" si="58"/>
        <v>5442075</v>
      </c>
      <c r="K609" s="2">
        <f t="shared" si="54"/>
        <v>4811925.2345423922</v>
      </c>
    </row>
    <row r="610" spans="5:11" x14ac:dyDescent="0.25">
      <c r="E610">
        <v>0.60399999999999998</v>
      </c>
      <c r="F610" s="2">
        <f t="shared" si="55"/>
        <v>30200.000634210617</v>
      </c>
      <c r="G610" s="2">
        <f t="shared" si="56"/>
        <v>10872000.228315823</v>
      </c>
      <c r="H610" s="26">
        <f t="shared" si="57"/>
        <v>10272000.228315823</v>
      </c>
      <c r="I610" s="26">
        <f t="shared" si="59"/>
        <v>17999.993773430586</v>
      </c>
      <c r="J610" s="26">
        <f t="shared" si="58"/>
        <v>5451100</v>
      </c>
      <c r="K610" s="2">
        <f t="shared" si="54"/>
        <v>4820900.2283158228</v>
      </c>
    </row>
    <row r="611" spans="5:11" x14ac:dyDescent="0.25">
      <c r="E611">
        <v>0.60499999999999998</v>
      </c>
      <c r="F611" s="2">
        <f t="shared" si="55"/>
        <v>30250.000617373466</v>
      </c>
      <c r="G611" s="2">
        <f t="shared" si="56"/>
        <v>10890000.222254448</v>
      </c>
      <c r="H611" s="26">
        <f t="shared" si="57"/>
        <v>10290000.222254448</v>
      </c>
      <c r="I611" s="26">
        <f t="shared" si="59"/>
        <v>17999.993938624859</v>
      </c>
      <c r="J611" s="26">
        <f t="shared" si="58"/>
        <v>5460125</v>
      </c>
      <c r="K611" s="2">
        <f t="shared" si="54"/>
        <v>4829875.2222544476</v>
      </c>
    </row>
    <row r="612" spans="5:11" x14ac:dyDescent="0.25">
      <c r="E612">
        <v>0.60599999999999998</v>
      </c>
      <c r="F612" s="2">
        <f t="shared" si="55"/>
        <v>30300.000600983029</v>
      </c>
      <c r="G612" s="2">
        <f t="shared" si="56"/>
        <v>10908000.21635389</v>
      </c>
      <c r="H612" s="26">
        <f t="shared" si="57"/>
        <v>10308000.21635389</v>
      </c>
      <c r="I612" s="26">
        <f t="shared" si="59"/>
        <v>17999.994099441916</v>
      </c>
      <c r="J612" s="26">
        <f t="shared" si="58"/>
        <v>5469150</v>
      </c>
      <c r="K612" s="2">
        <f t="shared" si="54"/>
        <v>4838850.2163538896</v>
      </c>
    </row>
    <row r="613" spans="5:11" x14ac:dyDescent="0.25">
      <c r="E613">
        <v>0.60699999999999998</v>
      </c>
      <c r="F613" s="2">
        <f t="shared" si="55"/>
        <v>30350.000585027468</v>
      </c>
      <c r="G613" s="2">
        <f t="shared" si="56"/>
        <v>10926000.210609889</v>
      </c>
      <c r="H613" s="26">
        <f t="shared" si="57"/>
        <v>10326000.210609889</v>
      </c>
      <c r="I613" s="26">
        <f t="shared" si="59"/>
        <v>17999.994255999103</v>
      </c>
      <c r="J613" s="26">
        <f t="shared" si="58"/>
        <v>5478175</v>
      </c>
      <c r="K613" s="2">
        <f t="shared" si="54"/>
        <v>4847825.2106098887</v>
      </c>
    </row>
    <row r="614" spans="5:11" x14ac:dyDescent="0.25">
      <c r="E614">
        <v>0.60799999999999998</v>
      </c>
      <c r="F614" s="2">
        <f t="shared" si="55"/>
        <v>30400.000569495263</v>
      </c>
      <c r="G614" s="2">
        <f t="shared" si="56"/>
        <v>10944000.205018295</v>
      </c>
      <c r="H614" s="26">
        <f t="shared" si="57"/>
        <v>10344000.205018295</v>
      </c>
      <c r="I614" s="26">
        <f t="shared" si="59"/>
        <v>17999.994408406317</v>
      </c>
      <c r="J614" s="26">
        <f t="shared" si="58"/>
        <v>5487200</v>
      </c>
      <c r="K614" s="2">
        <f t="shared" si="54"/>
        <v>4856800.205018295</v>
      </c>
    </row>
    <row r="615" spans="5:11" x14ac:dyDescent="0.25">
      <c r="E615">
        <v>0.60899999999999999</v>
      </c>
      <c r="F615" s="2">
        <f t="shared" si="55"/>
        <v>30450.000554375183</v>
      </c>
      <c r="G615" s="2">
        <f t="shared" si="56"/>
        <v>10962000.199575067</v>
      </c>
      <c r="H615" s="26">
        <f t="shared" si="57"/>
        <v>10362000.199575067</v>
      </c>
      <c r="I615" s="26">
        <f t="shared" si="59"/>
        <v>17999.994556771591</v>
      </c>
      <c r="J615" s="26">
        <f t="shared" si="58"/>
        <v>5496225</v>
      </c>
      <c r="K615" s="2">
        <f t="shared" si="54"/>
        <v>4865775.1995750666</v>
      </c>
    </row>
    <row r="616" spans="5:11" x14ac:dyDescent="0.25">
      <c r="E616">
        <v>0.61</v>
      </c>
      <c r="F616" s="2">
        <f t="shared" si="55"/>
        <v>30500.00053965631</v>
      </c>
      <c r="G616" s="2">
        <f t="shared" si="56"/>
        <v>10980000.194276271</v>
      </c>
      <c r="H616" s="26">
        <f t="shared" si="57"/>
        <v>10380000.194276271</v>
      </c>
      <c r="I616" s="26">
        <f t="shared" si="59"/>
        <v>17999.994701204821</v>
      </c>
      <c r="J616" s="26">
        <f t="shared" si="58"/>
        <v>5505250</v>
      </c>
      <c r="K616" s="2">
        <f t="shared" si="54"/>
        <v>4874750.1942762714</v>
      </c>
    </row>
    <row r="617" spans="5:11" x14ac:dyDescent="0.25">
      <c r="E617">
        <v>0.61099999999999999</v>
      </c>
      <c r="F617" s="2">
        <f t="shared" si="55"/>
        <v>30550.000525328</v>
      </c>
      <c r="G617" s="2">
        <f t="shared" si="56"/>
        <v>10998000.18911808</v>
      </c>
      <c r="H617" s="26">
        <f t="shared" si="57"/>
        <v>10398000.18911808</v>
      </c>
      <c r="I617" s="26">
        <f t="shared" si="59"/>
        <v>17999.994841808453</v>
      </c>
      <c r="J617" s="26">
        <f t="shared" si="58"/>
        <v>5514275</v>
      </c>
      <c r="K617" s="2">
        <f t="shared" si="54"/>
        <v>4883725.1891180798</v>
      </c>
    </row>
    <row r="618" spans="5:11" x14ac:dyDescent="0.25">
      <c r="E618">
        <v>0.61199999999999999</v>
      </c>
      <c r="F618" s="2">
        <f t="shared" si="55"/>
        <v>30600.000511379912</v>
      </c>
      <c r="G618" s="2">
        <f t="shared" si="56"/>
        <v>11016000.184096768</v>
      </c>
      <c r="H618" s="26">
        <f t="shared" si="57"/>
        <v>10416000.184096768</v>
      </c>
      <c r="I618" s="26">
        <f t="shared" si="59"/>
        <v>17999.994978688657</v>
      </c>
      <c r="J618" s="26">
        <f t="shared" si="58"/>
        <v>5523300</v>
      </c>
      <c r="K618" s="2">
        <f t="shared" si="54"/>
        <v>4892700.1840967685</v>
      </c>
    </row>
    <row r="619" spans="5:11" x14ac:dyDescent="0.25">
      <c r="E619">
        <v>0.61299999999999999</v>
      </c>
      <c r="F619" s="2">
        <f t="shared" si="55"/>
        <v>30650.000497801961</v>
      </c>
      <c r="G619" s="2">
        <f t="shared" si="56"/>
        <v>11034000.179208705</v>
      </c>
      <c r="H619" s="26">
        <f t="shared" si="57"/>
        <v>10434000.179208705</v>
      </c>
      <c r="I619" s="26">
        <f t="shared" si="59"/>
        <v>17999.995111936703</v>
      </c>
      <c r="J619" s="26">
        <f t="shared" si="58"/>
        <v>5532325</v>
      </c>
      <c r="K619" s="2">
        <f t="shared" si="54"/>
        <v>4901675.1792087052</v>
      </c>
    </row>
    <row r="620" spans="5:11" x14ac:dyDescent="0.25">
      <c r="E620">
        <v>0.61399999999999999</v>
      </c>
      <c r="F620" s="2">
        <f t="shared" si="55"/>
        <v>30700.000484584325</v>
      </c>
      <c r="G620" s="2">
        <f t="shared" si="56"/>
        <v>11052000.174450357</v>
      </c>
      <c r="H620" s="26">
        <f t="shared" si="57"/>
        <v>10452000.174450357</v>
      </c>
      <c r="I620" s="26">
        <f t="shared" si="59"/>
        <v>17999.995241651312</v>
      </c>
      <c r="J620" s="26">
        <f t="shared" si="58"/>
        <v>5541350</v>
      </c>
      <c r="K620" s="2">
        <f t="shared" si="54"/>
        <v>4910650.1744503565</v>
      </c>
    </row>
    <row r="621" spans="5:11" x14ac:dyDescent="0.25">
      <c r="E621">
        <v>0.61499999999999999</v>
      </c>
      <c r="F621" s="2">
        <f t="shared" si="55"/>
        <v>30750.000471717463</v>
      </c>
      <c r="G621" s="2">
        <f t="shared" si="56"/>
        <v>11070000.169818288</v>
      </c>
      <c r="H621" s="26">
        <f t="shared" si="57"/>
        <v>10470000.169818288</v>
      </c>
      <c r="I621" s="26">
        <f t="shared" si="59"/>
        <v>17999.995367931202</v>
      </c>
      <c r="J621" s="26">
        <f t="shared" si="58"/>
        <v>5550375</v>
      </c>
      <c r="K621" s="2">
        <f t="shared" si="54"/>
        <v>4919625.1698182877</v>
      </c>
    </row>
    <row r="622" spans="5:11" x14ac:dyDescent="0.25">
      <c r="E622">
        <v>0.61599999999999999</v>
      </c>
      <c r="F622" s="2">
        <f t="shared" si="55"/>
        <v>30800.000459192073</v>
      </c>
      <c r="G622" s="2">
        <f t="shared" si="56"/>
        <v>11088000.165309146</v>
      </c>
      <c r="H622" s="26">
        <f t="shared" si="57"/>
        <v>10488000.165309146</v>
      </c>
      <c r="I622" s="26">
        <f t="shared" si="59"/>
        <v>17999.995490858331</v>
      </c>
      <c r="J622" s="26">
        <f t="shared" si="58"/>
        <v>5559400</v>
      </c>
      <c r="K622" s="2">
        <f t="shared" si="54"/>
        <v>4928600.165309146</v>
      </c>
    </row>
    <row r="623" spans="5:11" x14ac:dyDescent="0.25">
      <c r="E623">
        <v>0.61699999999999999</v>
      </c>
      <c r="F623" s="2">
        <f t="shared" si="55"/>
        <v>30850.000446999104</v>
      </c>
      <c r="G623" s="2">
        <f t="shared" si="56"/>
        <v>11106000.160919677</v>
      </c>
      <c r="H623" s="26">
        <f t="shared" si="57"/>
        <v>10506000.160919677</v>
      </c>
      <c r="I623" s="26">
        <f t="shared" si="59"/>
        <v>17999.99561053142</v>
      </c>
      <c r="J623" s="26">
        <f t="shared" si="58"/>
        <v>5568425</v>
      </c>
      <c r="K623" s="2">
        <f t="shared" si="54"/>
        <v>4937575.1609196775</v>
      </c>
    </row>
    <row r="624" spans="5:11" x14ac:dyDescent="0.25">
      <c r="E624">
        <v>0.61799999999999999</v>
      </c>
      <c r="F624" s="2">
        <f t="shared" si="55"/>
        <v>30900.000435129732</v>
      </c>
      <c r="G624" s="2">
        <f t="shared" si="56"/>
        <v>11124000.156646704</v>
      </c>
      <c r="H624" s="26">
        <f t="shared" si="57"/>
        <v>10524000.156646704</v>
      </c>
      <c r="I624" s="26">
        <f t="shared" si="59"/>
        <v>17999.995727026835</v>
      </c>
      <c r="J624" s="26">
        <f t="shared" si="58"/>
        <v>5577450</v>
      </c>
      <c r="K624" s="2">
        <f t="shared" si="54"/>
        <v>4946550.1566467043</v>
      </c>
    </row>
    <row r="625" spans="5:11" x14ac:dyDescent="0.25">
      <c r="E625">
        <v>0.61899999999999999</v>
      </c>
      <c r="F625" s="2">
        <f t="shared" si="55"/>
        <v>30950.000423575377</v>
      </c>
      <c r="G625" s="2">
        <f t="shared" si="56"/>
        <v>11142000.152487136</v>
      </c>
      <c r="H625" s="26">
        <f t="shared" si="57"/>
        <v>10542000.152487136</v>
      </c>
      <c r="I625" s="26">
        <f t="shared" si="59"/>
        <v>17999.995840432122</v>
      </c>
      <c r="J625" s="26">
        <f t="shared" si="58"/>
        <v>5586475</v>
      </c>
      <c r="K625" s="2">
        <f t="shared" si="54"/>
        <v>4955525.1524871364</v>
      </c>
    </row>
    <row r="626" spans="5:11" x14ac:dyDescent="0.25">
      <c r="E626">
        <v>0.62</v>
      </c>
      <c r="F626" s="2">
        <f t="shared" si="55"/>
        <v>31000.000412327696</v>
      </c>
      <c r="G626" s="2">
        <f t="shared" si="56"/>
        <v>11160000.148437971</v>
      </c>
      <c r="H626" s="26">
        <f t="shared" si="57"/>
        <v>10560000.148437971</v>
      </c>
      <c r="I626" s="26">
        <f t="shared" si="59"/>
        <v>17999.995950834826</v>
      </c>
      <c r="J626" s="26">
        <f t="shared" si="58"/>
        <v>5595500</v>
      </c>
      <c r="K626" s="2">
        <f t="shared" si="54"/>
        <v>4964500.1484379712</v>
      </c>
    </row>
    <row r="627" spans="5:11" x14ac:dyDescent="0.25">
      <c r="E627">
        <v>0.621</v>
      </c>
      <c r="F627" s="2">
        <f t="shared" si="55"/>
        <v>31050.000401378547</v>
      </c>
      <c r="G627" s="2">
        <f t="shared" si="56"/>
        <v>11178000.144496277</v>
      </c>
      <c r="H627" s="26">
        <f t="shared" si="57"/>
        <v>10578000.144496277</v>
      </c>
      <c r="I627" s="26">
        <f t="shared" si="59"/>
        <v>17999.996058305725</v>
      </c>
      <c r="J627" s="26">
        <f t="shared" si="58"/>
        <v>5604525</v>
      </c>
      <c r="K627" s="2">
        <f t="shared" si="54"/>
        <v>4973475.144496277</v>
      </c>
    </row>
    <row r="628" spans="5:11" x14ac:dyDescent="0.25">
      <c r="E628">
        <v>0.622</v>
      </c>
      <c r="F628" s="2">
        <f t="shared" si="55"/>
        <v>31100.000390720023</v>
      </c>
      <c r="G628" s="2">
        <f t="shared" si="56"/>
        <v>11196000.140659207</v>
      </c>
      <c r="H628" s="26">
        <f t="shared" si="57"/>
        <v>10596000.140659207</v>
      </c>
      <c r="I628" s="26">
        <f t="shared" si="59"/>
        <v>17999.996162930503</v>
      </c>
      <c r="J628" s="26">
        <f t="shared" si="58"/>
        <v>5613550</v>
      </c>
      <c r="K628" s="2">
        <f t="shared" si="54"/>
        <v>4982450.1406592075</v>
      </c>
    </row>
    <row r="629" spans="5:11" x14ac:dyDescent="0.25">
      <c r="E629">
        <v>0.623</v>
      </c>
      <c r="F629" s="2">
        <f t="shared" si="55"/>
        <v>31150.000380344409</v>
      </c>
      <c r="G629" s="2">
        <f t="shared" si="56"/>
        <v>11214000.136923987</v>
      </c>
      <c r="H629" s="26">
        <f t="shared" si="57"/>
        <v>10614000.136923987</v>
      </c>
      <c r="I629" s="26">
        <f t="shared" si="59"/>
        <v>17999.99626477994</v>
      </c>
      <c r="J629" s="26">
        <f t="shared" si="58"/>
        <v>5622575</v>
      </c>
      <c r="K629" s="2">
        <f t="shared" si="54"/>
        <v>4991425.1369239874</v>
      </c>
    </row>
    <row r="630" spans="5:11" x14ac:dyDescent="0.25">
      <c r="E630">
        <v>0.624</v>
      </c>
      <c r="F630" s="2">
        <f t="shared" si="55"/>
        <v>31200.000370244197</v>
      </c>
      <c r="G630" s="2">
        <f t="shared" si="56"/>
        <v>11232000.13328791</v>
      </c>
      <c r="H630" s="26">
        <f t="shared" si="57"/>
        <v>10632000.13328791</v>
      </c>
      <c r="I630" s="26">
        <f t="shared" si="59"/>
        <v>17999.996363922954</v>
      </c>
      <c r="J630" s="26">
        <f t="shared" si="58"/>
        <v>5631600</v>
      </c>
      <c r="K630" s="2">
        <f t="shared" si="54"/>
        <v>5000400.1332879104</v>
      </c>
    </row>
    <row r="631" spans="5:11" x14ac:dyDescent="0.25">
      <c r="E631">
        <v>0.625</v>
      </c>
      <c r="F631" s="2">
        <f t="shared" si="55"/>
        <v>31250.000360412101</v>
      </c>
      <c r="G631" s="2">
        <f t="shared" si="56"/>
        <v>11250000.129748356</v>
      </c>
      <c r="H631" s="26">
        <f t="shared" si="57"/>
        <v>10650000.129748356</v>
      </c>
      <c r="I631" s="26">
        <f t="shared" si="59"/>
        <v>17999.996460445225</v>
      </c>
      <c r="J631" s="26">
        <f t="shared" si="58"/>
        <v>5640625</v>
      </c>
      <c r="K631" s="2">
        <f t="shared" si="54"/>
        <v>5009375.1297483556</v>
      </c>
    </row>
    <row r="632" spans="5:11" x14ac:dyDescent="0.25">
      <c r="E632">
        <v>0.626</v>
      </c>
      <c r="F632" s="2">
        <f t="shared" si="55"/>
        <v>31300.00035084099</v>
      </c>
      <c r="G632" s="2">
        <f t="shared" si="56"/>
        <v>11268000.126302756</v>
      </c>
      <c r="H632" s="26">
        <f t="shared" si="57"/>
        <v>10668000.126302756</v>
      </c>
      <c r="I632" s="26">
        <f t="shared" si="59"/>
        <v>17999.996554400772</v>
      </c>
      <c r="J632" s="26">
        <f t="shared" si="58"/>
        <v>5649650</v>
      </c>
      <c r="K632" s="2">
        <f t="shared" si="54"/>
        <v>5018350.1263027564</v>
      </c>
    </row>
    <row r="633" spans="5:11" x14ac:dyDescent="0.25">
      <c r="E633">
        <v>0.627</v>
      </c>
      <c r="F633" s="2">
        <f t="shared" si="55"/>
        <v>31350.000341523944</v>
      </c>
      <c r="G633" s="2">
        <f t="shared" si="56"/>
        <v>11286000.12294862</v>
      </c>
      <c r="H633" s="26">
        <f t="shared" si="57"/>
        <v>10686000.12294862</v>
      </c>
      <c r="I633" s="26">
        <f t="shared" si="59"/>
        <v>17999.996645864099</v>
      </c>
      <c r="J633" s="26">
        <f t="shared" si="58"/>
        <v>5658675</v>
      </c>
      <c r="K633" s="2">
        <f t="shared" si="54"/>
        <v>5027325.1229486205</v>
      </c>
    </row>
    <row r="634" spans="5:11" x14ac:dyDescent="0.25">
      <c r="E634">
        <v>0.628</v>
      </c>
      <c r="F634" s="2">
        <f t="shared" si="55"/>
        <v>31400.000332454238</v>
      </c>
      <c r="G634" s="2">
        <f t="shared" si="56"/>
        <v>11304000.119683526</v>
      </c>
      <c r="H634" s="26">
        <f t="shared" si="57"/>
        <v>10704000.119683526</v>
      </c>
      <c r="I634" s="26">
        <f t="shared" si="59"/>
        <v>17999.996734905988</v>
      </c>
      <c r="J634" s="26">
        <f t="shared" si="58"/>
        <v>5667700</v>
      </c>
      <c r="K634" s="2">
        <f t="shared" si="54"/>
        <v>5036300.1196835265</v>
      </c>
    </row>
    <row r="635" spans="5:11" x14ac:dyDescent="0.25">
      <c r="E635">
        <v>0.629</v>
      </c>
      <c r="F635" s="2">
        <f t="shared" si="55"/>
        <v>31450.000323625296</v>
      </c>
      <c r="G635" s="2">
        <f t="shared" si="56"/>
        <v>11322000.116505107</v>
      </c>
      <c r="H635" s="26">
        <f t="shared" si="57"/>
        <v>10722000.116505107</v>
      </c>
      <c r="I635" s="26">
        <f t="shared" si="59"/>
        <v>17999.996821580455</v>
      </c>
      <c r="J635" s="26">
        <f t="shared" si="58"/>
        <v>5676725</v>
      </c>
      <c r="K635" s="2">
        <f t="shared" si="54"/>
        <v>5045275.1165051069</v>
      </c>
    </row>
    <row r="636" spans="5:11" x14ac:dyDescent="0.25">
      <c r="E636">
        <v>0.63</v>
      </c>
      <c r="F636" s="2">
        <f t="shared" si="55"/>
        <v>31500.000315030738</v>
      </c>
      <c r="G636" s="2">
        <f t="shared" si="56"/>
        <v>11340000.113411065</v>
      </c>
      <c r="H636" s="26">
        <f t="shared" si="57"/>
        <v>10740000.113411065</v>
      </c>
      <c r="I636" s="26">
        <f t="shared" si="59"/>
        <v>17999.99690595828</v>
      </c>
      <c r="J636" s="26">
        <f t="shared" si="58"/>
        <v>5685750</v>
      </c>
      <c r="K636" s="2">
        <f t="shared" si="54"/>
        <v>5054250.1134110652</v>
      </c>
    </row>
    <row r="637" spans="5:11" x14ac:dyDescent="0.25">
      <c r="E637">
        <v>0.63100000000000001</v>
      </c>
      <c r="F637" s="2">
        <f t="shared" si="55"/>
        <v>31550.000306664351</v>
      </c>
      <c r="G637" s="2">
        <f t="shared" si="56"/>
        <v>11358000.110399166</v>
      </c>
      <c r="H637" s="26">
        <f t="shared" si="57"/>
        <v>10758000.110399166</v>
      </c>
      <c r="I637" s="26">
        <f t="shared" si="59"/>
        <v>17999.996988100931</v>
      </c>
      <c r="J637" s="26">
        <f t="shared" si="58"/>
        <v>5694775</v>
      </c>
      <c r="K637" s="2">
        <f t="shared" si="54"/>
        <v>5063225.1103991661</v>
      </c>
    </row>
    <row r="638" spans="5:11" x14ac:dyDescent="0.25">
      <c r="E638">
        <v>0.63200000000000001</v>
      </c>
      <c r="F638" s="2">
        <f t="shared" si="55"/>
        <v>31600.000298520081</v>
      </c>
      <c r="G638" s="2">
        <f t="shared" si="56"/>
        <v>11376000.107467229</v>
      </c>
      <c r="H638" s="26">
        <f t="shared" si="57"/>
        <v>10776000.107467229</v>
      </c>
      <c r="I638" s="26">
        <f t="shared" si="59"/>
        <v>17999.997068062425</v>
      </c>
      <c r="J638" s="26">
        <f t="shared" si="58"/>
        <v>5703800</v>
      </c>
      <c r="K638" s="2">
        <f t="shared" si="54"/>
        <v>5072200.1074672285</v>
      </c>
    </row>
    <row r="639" spans="5:11" x14ac:dyDescent="0.25">
      <c r="E639">
        <v>0.63300000000000001</v>
      </c>
      <c r="F639" s="2">
        <f t="shared" si="55"/>
        <v>31650.000290592019</v>
      </c>
      <c r="G639" s="2">
        <f t="shared" si="56"/>
        <v>11394000.104613127</v>
      </c>
      <c r="H639" s="26">
        <f t="shared" si="57"/>
        <v>10794000.104613127</v>
      </c>
      <c r="I639" s="26">
        <f t="shared" si="59"/>
        <v>17999.99714589864</v>
      </c>
      <c r="J639" s="26">
        <f t="shared" si="58"/>
        <v>5712825</v>
      </c>
      <c r="K639" s="2">
        <f t="shared" si="54"/>
        <v>5081175.1046131272</v>
      </c>
    </row>
    <row r="640" spans="5:11" x14ac:dyDescent="0.25">
      <c r="E640">
        <v>0.63400000000000001</v>
      </c>
      <c r="F640" s="2">
        <f t="shared" si="55"/>
        <v>31700.000282874455</v>
      </c>
      <c r="G640" s="2">
        <f t="shared" si="56"/>
        <v>11412000.101834804</v>
      </c>
      <c r="H640" s="26">
        <f t="shared" si="57"/>
        <v>10812000.101834804</v>
      </c>
      <c r="I640" s="26">
        <f t="shared" si="59"/>
        <v>17999.997221676633</v>
      </c>
      <c r="J640" s="26">
        <f t="shared" si="58"/>
        <v>5721850</v>
      </c>
      <c r="K640" s="2">
        <f t="shared" si="54"/>
        <v>5090150.1018348038</v>
      </c>
    </row>
    <row r="641" spans="5:11" x14ac:dyDescent="0.25">
      <c r="E641">
        <v>0.63500000000000001</v>
      </c>
      <c r="F641" s="2">
        <f t="shared" si="55"/>
        <v>31750.000275361777</v>
      </c>
      <c r="G641" s="2">
        <f t="shared" si="56"/>
        <v>11430000.099130239</v>
      </c>
      <c r="H641" s="26">
        <f t="shared" si="57"/>
        <v>10830000.099130239</v>
      </c>
      <c r="I641" s="26">
        <f t="shared" si="59"/>
        <v>17999.997295435518</v>
      </c>
      <c r="J641" s="26">
        <f t="shared" si="58"/>
        <v>5730875</v>
      </c>
      <c r="K641" s="2">
        <f t="shared" si="54"/>
        <v>5099125.0991302393</v>
      </c>
    </row>
    <row r="642" spans="5:11" x14ac:dyDescent="0.25">
      <c r="E642">
        <v>0.63600000000000001</v>
      </c>
      <c r="F642" s="2">
        <f t="shared" si="55"/>
        <v>31800.00026804857</v>
      </c>
      <c r="G642" s="2">
        <f t="shared" si="56"/>
        <v>11448000.096497485</v>
      </c>
      <c r="H642" s="26">
        <f t="shared" si="57"/>
        <v>10848000.096497485</v>
      </c>
      <c r="I642" s="26">
        <f t="shared" si="59"/>
        <v>17999.997367246076</v>
      </c>
      <c r="J642" s="26">
        <f t="shared" si="58"/>
        <v>5739900</v>
      </c>
      <c r="K642" s="2">
        <f t="shared" si="54"/>
        <v>5108100.0964974854</v>
      </c>
    </row>
    <row r="643" spans="5:11" x14ac:dyDescent="0.25">
      <c r="E643">
        <v>0.63700000000000001</v>
      </c>
      <c r="F643" s="2">
        <f t="shared" si="55"/>
        <v>31850.000260929537</v>
      </c>
      <c r="G643" s="2">
        <f t="shared" si="56"/>
        <v>11466000.093934633</v>
      </c>
      <c r="H643" s="26">
        <f t="shared" si="57"/>
        <v>10866000.093934633</v>
      </c>
      <c r="I643" s="26">
        <f t="shared" si="59"/>
        <v>17999.997437147424</v>
      </c>
      <c r="J643" s="26">
        <f t="shared" si="58"/>
        <v>5748925</v>
      </c>
      <c r="K643" s="2">
        <f t="shared" si="54"/>
        <v>5117075.0939346328</v>
      </c>
    </row>
    <row r="644" spans="5:11" x14ac:dyDescent="0.25">
      <c r="E644">
        <v>0.63800000000000001</v>
      </c>
      <c r="F644" s="2">
        <f t="shared" si="55"/>
        <v>31900.000253999518</v>
      </c>
      <c r="G644" s="2">
        <f t="shared" si="56"/>
        <v>11484000.091439826</v>
      </c>
      <c r="H644" s="26">
        <f t="shared" si="57"/>
        <v>10884000.091439826</v>
      </c>
      <c r="I644" s="26">
        <f t="shared" si="59"/>
        <v>17999.997505193576</v>
      </c>
      <c r="J644" s="26">
        <f t="shared" si="58"/>
        <v>5757950</v>
      </c>
      <c r="K644" s="2">
        <f t="shared" si="54"/>
        <v>5126050.0914398264</v>
      </c>
    </row>
    <row r="645" spans="5:11" x14ac:dyDescent="0.25">
      <c r="E645">
        <v>0.63900000000000001</v>
      </c>
      <c r="F645" s="2">
        <f t="shared" si="55"/>
        <v>31950.000247253502</v>
      </c>
      <c r="G645" s="2">
        <f t="shared" si="56"/>
        <v>11502000.089011261</v>
      </c>
      <c r="H645" s="26">
        <f t="shared" si="57"/>
        <v>10902000.089011261</v>
      </c>
      <c r="I645" s="26">
        <f t="shared" si="59"/>
        <v>17999.997571434826</v>
      </c>
      <c r="J645" s="26">
        <f t="shared" si="58"/>
        <v>5766975</v>
      </c>
      <c r="K645" s="2">
        <f t="shared" si="54"/>
        <v>5135025.0890112612</v>
      </c>
    </row>
    <row r="646" spans="5:11" x14ac:dyDescent="0.25">
      <c r="E646">
        <v>0.64</v>
      </c>
      <c r="F646" s="2">
        <f t="shared" si="55"/>
        <v>32000.000240686619</v>
      </c>
      <c r="G646" s="2">
        <f t="shared" si="56"/>
        <v>11520000.086647183</v>
      </c>
      <c r="H646" s="26">
        <f t="shared" si="57"/>
        <v>10920000.086647183</v>
      </c>
      <c r="I646" s="26">
        <f t="shared" si="59"/>
        <v>17999.997635921463</v>
      </c>
      <c r="J646" s="26">
        <f t="shared" si="58"/>
        <v>5776000</v>
      </c>
      <c r="K646" s="2">
        <f t="shared" ref="K646:K709" si="60">H646-J646</f>
        <v>5144000.0866471827</v>
      </c>
    </row>
    <row r="647" spans="5:11" x14ac:dyDescent="0.25">
      <c r="E647">
        <v>0.64100000000000001</v>
      </c>
      <c r="F647" s="2">
        <f t="shared" ref="F647:F710" si="61">PMT(E647/12,$C$7,-$C$6,0,0)</f>
        <v>32050.000234294093</v>
      </c>
      <c r="G647" s="2">
        <f t="shared" ref="G647:G710" si="62">360*F647</f>
        <v>11538000.084345873</v>
      </c>
      <c r="H647" s="26">
        <f t="shared" ref="H647:H710" si="63">360*F647-$C$6</f>
        <v>10938000.084345873</v>
      </c>
      <c r="I647" s="26">
        <f t="shared" si="59"/>
        <v>17999.997698690742</v>
      </c>
      <c r="J647" s="26">
        <f t="shared" ref="J647:J710" si="64">$C$6*E647/12*($C$7+1)/2</f>
        <v>5785025</v>
      </c>
      <c r="K647" s="2">
        <f t="shared" si="60"/>
        <v>5152975.0843458734</v>
      </c>
    </row>
    <row r="648" spans="5:11" x14ac:dyDescent="0.25">
      <c r="E648">
        <v>0.64200000000000002</v>
      </c>
      <c r="F648" s="2">
        <f t="shared" si="61"/>
        <v>32100.000228071309</v>
      </c>
      <c r="G648" s="2">
        <f t="shared" si="62"/>
        <v>11556000.082105672</v>
      </c>
      <c r="H648" s="26">
        <f t="shared" si="63"/>
        <v>10956000.082105672</v>
      </c>
      <c r="I648" s="26">
        <f t="shared" si="59"/>
        <v>17999.997759798542</v>
      </c>
      <c r="J648" s="26">
        <f t="shared" si="64"/>
        <v>5794050</v>
      </c>
      <c r="K648" s="2">
        <f t="shared" si="60"/>
        <v>5161950.082105672</v>
      </c>
    </row>
    <row r="649" spans="5:11" x14ac:dyDescent="0.25">
      <c r="E649">
        <v>0.64300000000000002</v>
      </c>
      <c r="F649" s="2">
        <f t="shared" si="61"/>
        <v>32150.000222013769</v>
      </c>
      <c r="G649" s="2">
        <f t="shared" si="62"/>
        <v>11574000.079924956</v>
      </c>
      <c r="H649" s="26">
        <f t="shared" si="63"/>
        <v>10974000.079924956</v>
      </c>
      <c r="I649" s="26">
        <f t="shared" ref="I649:I712" si="65">H649-H648</f>
        <v>17999.997819283977</v>
      </c>
      <c r="J649" s="26">
        <f t="shared" si="64"/>
        <v>5803075</v>
      </c>
      <c r="K649" s="2">
        <f t="shared" si="60"/>
        <v>5170925.079924956</v>
      </c>
    </row>
    <row r="650" spans="5:11" x14ac:dyDescent="0.25">
      <c r="E650">
        <v>0.64400000000000002</v>
      </c>
      <c r="F650" s="2">
        <f t="shared" si="61"/>
        <v>32200.000216117071</v>
      </c>
      <c r="G650" s="2">
        <f t="shared" si="62"/>
        <v>11592000.077802146</v>
      </c>
      <c r="H650" s="26">
        <f t="shared" si="63"/>
        <v>10992000.077802146</v>
      </c>
      <c r="I650" s="26">
        <f t="shared" si="65"/>
        <v>17999.99787718989</v>
      </c>
      <c r="J650" s="26">
        <f t="shared" si="64"/>
        <v>5812100</v>
      </c>
      <c r="K650" s="2">
        <f t="shared" si="60"/>
        <v>5179900.0778021459</v>
      </c>
    </row>
    <row r="651" spans="5:11" x14ac:dyDescent="0.25">
      <c r="E651">
        <v>0.64500000000000002</v>
      </c>
      <c r="F651" s="2">
        <f t="shared" si="61"/>
        <v>32250.000210376962</v>
      </c>
      <c r="G651" s="2">
        <f t="shared" si="62"/>
        <v>11610000.075735707</v>
      </c>
      <c r="H651" s="26">
        <f t="shared" si="63"/>
        <v>11010000.075735707</v>
      </c>
      <c r="I651" s="26">
        <f t="shared" si="65"/>
        <v>17999.997933560982</v>
      </c>
      <c r="J651" s="26">
        <f t="shared" si="64"/>
        <v>5821125</v>
      </c>
      <c r="K651" s="2">
        <f t="shared" si="60"/>
        <v>5188875.0757357068</v>
      </c>
    </row>
    <row r="652" spans="5:11" x14ac:dyDescent="0.25">
      <c r="E652">
        <v>0.64600000000000002</v>
      </c>
      <c r="F652" s="2">
        <f t="shared" si="61"/>
        <v>32300.000204789278</v>
      </c>
      <c r="G652" s="2">
        <f t="shared" si="62"/>
        <v>11628000.073724139</v>
      </c>
      <c r="H652" s="26">
        <f t="shared" si="63"/>
        <v>11028000.073724139</v>
      </c>
      <c r="I652" s="26">
        <f t="shared" si="65"/>
        <v>17999.997988432646</v>
      </c>
      <c r="J652" s="26">
        <f t="shared" si="64"/>
        <v>5830150</v>
      </c>
      <c r="K652" s="2">
        <f t="shared" si="60"/>
        <v>5197850.0737241395</v>
      </c>
    </row>
    <row r="653" spans="5:11" x14ac:dyDescent="0.25">
      <c r="E653">
        <v>0.64700000000000002</v>
      </c>
      <c r="F653" s="2">
        <f t="shared" si="61"/>
        <v>32350.000199349975</v>
      </c>
      <c r="G653" s="2">
        <f t="shared" si="62"/>
        <v>11646000.071765991</v>
      </c>
      <c r="H653" s="26">
        <f t="shared" si="63"/>
        <v>11046000.071765991</v>
      </c>
      <c r="I653" s="26">
        <f t="shared" si="65"/>
        <v>17999.998041851446</v>
      </c>
      <c r="J653" s="26">
        <f t="shared" si="64"/>
        <v>5839175</v>
      </c>
      <c r="K653" s="2">
        <f t="shared" si="60"/>
        <v>5206825.0717659909</v>
      </c>
    </row>
    <row r="654" spans="5:11" x14ac:dyDescent="0.25">
      <c r="E654">
        <v>0.64800000000000002</v>
      </c>
      <c r="F654" s="2">
        <f t="shared" si="61"/>
        <v>32400.000194055116</v>
      </c>
      <c r="G654" s="2">
        <f t="shared" si="62"/>
        <v>11664000.069859842</v>
      </c>
      <c r="H654" s="26">
        <f t="shared" si="63"/>
        <v>11064000.069859842</v>
      </c>
      <c r="I654" s="26">
        <f t="shared" si="65"/>
        <v>17999.998093850911</v>
      </c>
      <c r="J654" s="26">
        <f t="shared" si="64"/>
        <v>5848200</v>
      </c>
      <c r="K654" s="2">
        <f t="shared" si="60"/>
        <v>5215800.0698598418</v>
      </c>
    </row>
    <row r="655" spans="5:11" x14ac:dyDescent="0.25">
      <c r="E655">
        <v>0.64900000000000002</v>
      </c>
      <c r="F655" s="2">
        <f t="shared" si="61"/>
        <v>32450.000188900874</v>
      </c>
      <c r="G655" s="2">
        <f t="shared" si="62"/>
        <v>11682000.068004316</v>
      </c>
      <c r="H655" s="26">
        <f t="shared" si="63"/>
        <v>11082000.068004316</v>
      </c>
      <c r="I655" s="26">
        <f t="shared" si="65"/>
        <v>17999.998144473881</v>
      </c>
      <c r="J655" s="26">
        <f t="shared" si="64"/>
        <v>5857225</v>
      </c>
      <c r="K655" s="2">
        <f t="shared" si="60"/>
        <v>5224775.0680043157</v>
      </c>
    </row>
    <row r="656" spans="5:11" x14ac:dyDescent="0.25">
      <c r="E656">
        <v>0.65</v>
      </c>
      <c r="F656" s="2">
        <f t="shared" si="61"/>
        <v>32500.000183883501</v>
      </c>
      <c r="G656" s="2">
        <f t="shared" si="62"/>
        <v>11700000.06619806</v>
      </c>
      <c r="H656" s="26">
        <f t="shared" si="63"/>
        <v>11100000.06619806</v>
      </c>
      <c r="I656" s="26">
        <f t="shared" si="65"/>
        <v>17999.99819374457</v>
      </c>
      <c r="J656" s="26">
        <f t="shared" si="64"/>
        <v>5866250</v>
      </c>
      <c r="K656" s="2">
        <f t="shared" si="60"/>
        <v>5233750.0661980603</v>
      </c>
    </row>
    <row r="657" spans="5:11" x14ac:dyDescent="0.25">
      <c r="E657">
        <v>0.65100000000000002</v>
      </c>
      <c r="F657" s="2">
        <f t="shared" si="61"/>
        <v>32550.000178999369</v>
      </c>
      <c r="G657" s="2">
        <f t="shared" si="62"/>
        <v>11718000.064439774</v>
      </c>
      <c r="H657" s="26">
        <f t="shared" si="63"/>
        <v>11118000.064439774</v>
      </c>
      <c r="I657" s="26">
        <f t="shared" si="65"/>
        <v>17999.998241713271</v>
      </c>
      <c r="J657" s="26">
        <f t="shared" si="64"/>
        <v>5875275</v>
      </c>
      <c r="K657" s="2">
        <f t="shared" si="60"/>
        <v>5242725.0644397736</v>
      </c>
    </row>
    <row r="658" spans="5:11" x14ac:dyDescent="0.25">
      <c r="E658">
        <v>0.65200000000000002</v>
      </c>
      <c r="F658" s="2">
        <f t="shared" si="61"/>
        <v>32600.000174244957</v>
      </c>
      <c r="G658" s="2">
        <f t="shared" si="62"/>
        <v>11736000.062728185</v>
      </c>
      <c r="H658" s="26">
        <f t="shared" si="63"/>
        <v>11136000.062728185</v>
      </c>
      <c r="I658" s="26">
        <f t="shared" si="65"/>
        <v>17999.998288411647</v>
      </c>
      <c r="J658" s="26">
        <f t="shared" si="64"/>
        <v>5884300</v>
      </c>
      <c r="K658" s="2">
        <f t="shared" si="60"/>
        <v>5251700.0627281852</v>
      </c>
    </row>
    <row r="659" spans="5:11" x14ac:dyDescent="0.25">
      <c r="E659">
        <v>0.65300000000000002</v>
      </c>
      <c r="F659" s="2">
        <f t="shared" si="61"/>
        <v>32650.0001696168</v>
      </c>
      <c r="G659" s="2">
        <f t="shared" si="62"/>
        <v>11754000.061062047</v>
      </c>
      <c r="H659" s="26">
        <f t="shared" si="63"/>
        <v>11154000.061062047</v>
      </c>
      <c r="I659" s="26">
        <f t="shared" si="65"/>
        <v>17999.998333862051</v>
      </c>
      <c r="J659" s="26">
        <f t="shared" si="64"/>
        <v>5893325</v>
      </c>
      <c r="K659" s="2">
        <f t="shared" si="60"/>
        <v>5260675.0610620473</v>
      </c>
    </row>
    <row r="660" spans="5:11" x14ac:dyDescent="0.25">
      <c r="E660">
        <v>0.65400000000000003</v>
      </c>
      <c r="F660" s="2">
        <f t="shared" si="61"/>
        <v>32700.000165111564</v>
      </c>
      <c r="G660" s="2">
        <f t="shared" si="62"/>
        <v>11772000.059440162</v>
      </c>
      <c r="H660" s="26">
        <f t="shared" si="63"/>
        <v>11172000.059440162</v>
      </c>
      <c r="I660" s="26">
        <f t="shared" si="65"/>
        <v>17999.998378114775</v>
      </c>
      <c r="J660" s="26">
        <f t="shared" si="64"/>
        <v>5902350</v>
      </c>
      <c r="K660" s="2">
        <f t="shared" si="60"/>
        <v>5269650.059440162</v>
      </c>
    </row>
    <row r="661" spans="5:11" x14ac:dyDescent="0.25">
      <c r="E661">
        <v>0.65500000000000003</v>
      </c>
      <c r="F661" s="2">
        <f t="shared" si="61"/>
        <v>32750.000160725976</v>
      </c>
      <c r="G661" s="2">
        <f t="shared" si="62"/>
        <v>11790000.057861352</v>
      </c>
      <c r="H661" s="26">
        <f t="shared" si="63"/>
        <v>11190000.057861352</v>
      </c>
      <c r="I661" s="26">
        <f t="shared" si="65"/>
        <v>17999.998421190307</v>
      </c>
      <c r="J661" s="26">
        <f t="shared" si="64"/>
        <v>5911375</v>
      </c>
      <c r="K661" s="2">
        <f t="shared" si="60"/>
        <v>5278625.0578613523</v>
      </c>
    </row>
    <row r="662" spans="5:11" x14ac:dyDescent="0.25">
      <c r="E662">
        <v>0.65600000000000003</v>
      </c>
      <c r="F662" s="2">
        <f t="shared" si="61"/>
        <v>32800.000156456859</v>
      </c>
      <c r="G662" s="2">
        <f t="shared" si="62"/>
        <v>11808000.056324469</v>
      </c>
      <c r="H662" s="26">
        <f t="shared" si="63"/>
        <v>11208000.056324469</v>
      </c>
      <c r="I662" s="26">
        <f t="shared" si="65"/>
        <v>17999.998463116586</v>
      </c>
      <c r="J662" s="26">
        <f t="shared" si="64"/>
        <v>5920400</v>
      </c>
      <c r="K662" s="2">
        <f t="shared" si="60"/>
        <v>5287600.0563244689</v>
      </c>
    </row>
    <row r="663" spans="5:11" x14ac:dyDescent="0.25">
      <c r="E663">
        <v>0.65700000000000003</v>
      </c>
      <c r="F663" s="2">
        <f t="shared" si="61"/>
        <v>32850.000152301131</v>
      </c>
      <c r="G663" s="2">
        <f t="shared" si="62"/>
        <v>11826000.054828407</v>
      </c>
      <c r="H663" s="26">
        <f t="shared" si="63"/>
        <v>11226000.054828407</v>
      </c>
      <c r="I663" s="26">
        <f t="shared" si="65"/>
        <v>17999.998503938317</v>
      </c>
      <c r="J663" s="26">
        <f t="shared" si="64"/>
        <v>5929425</v>
      </c>
      <c r="K663" s="2">
        <f t="shared" si="60"/>
        <v>5296575.0548284072</v>
      </c>
    </row>
    <row r="664" spans="5:11" x14ac:dyDescent="0.25">
      <c r="E664">
        <v>0.65800000000000003</v>
      </c>
      <c r="F664" s="2">
        <f t="shared" si="61"/>
        <v>32900.000148255771</v>
      </c>
      <c r="G664" s="2">
        <f t="shared" si="62"/>
        <v>11844000.053372078</v>
      </c>
      <c r="H664" s="26">
        <f t="shared" si="63"/>
        <v>11244000.053372078</v>
      </c>
      <c r="I664" s="26">
        <f t="shared" si="65"/>
        <v>17999.998543670401</v>
      </c>
      <c r="J664" s="26">
        <f t="shared" si="64"/>
        <v>5938450</v>
      </c>
      <c r="K664" s="2">
        <f t="shared" si="60"/>
        <v>5305550.0533720776</v>
      </c>
    </row>
    <row r="665" spans="5:11" x14ac:dyDescent="0.25">
      <c r="E665">
        <v>0.65900000000000003</v>
      </c>
      <c r="F665" s="2">
        <f t="shared" si="61"/>
        <v>32950.000144317848</v>
      </c>
      <c r="G665" s="2">
        <f t="shared" si="62"/>
        <v>11862000.051954426</v>
      </c>
      <c r="H665" s="26">
        <f t="shared" si="63"/>
        <v>11262000.051954426</v>
      </c>
      <c r="I665" s="26">
        <f t="shared" si="65"/>
        <v>17999.998582348228</v>
      </c>
      <c r="J665" s="26">
        <f t="shared" si="64"/>
        <v>5947475</v>
      </c>
      <c r="K665" s="2">
        <f t="shared" si="60"/>
        <v>5314525.0519544259</v>
      </c>
    </row>
    <row r="666" spans="5:11" x14ac:dyDescent="0.25">
      <c r="E666">
        <v>0.66</v>
      </c>
      <c r="F666" s="2">
        <f t="shared" si="61"/>
        <v>33000.000140484524</v>
      </c>
      <c r="G666" s="2">
        <f t="shared" si="62"/>
        <v>11880000.050574429</v>
      </c>
      <c r="H666" s="26">
        <f t="shared" si="63"/>
        <v>11280000.050574429</v>
      </c>
      <c r="I666" s="26">
        <f t="shared" si="65"/>
        <v>17999.998620003462</v>
      </c>
      <c r="J666" s="26">
        <f t="shared" si="64"/>
        <v>5956500</v>
      </c>
      <c r="K666" s="2">
        <f t="shared" si="60"/>
        <v>5323500.0505744293</v>
      </c>
    </row>
    <row r="667" spans="5:11" x14ac:dyDescent="0.25">
      <c r="E667">
        <v>0.66100000000000003</v>
      </c>
      <c r="F667" s="2">
        <f t="shared" si="61"/>
        <v>33050.000136753013</v>
      </c>
      <c r="G667" s="2">
        <f t="shared" si="62"/>
        <v>11898000.049231084</v>
      </c>
      <c r="H667" s="26">
        <f t="shared" si="63"/>
        <v>11298000.049231084</v>
      </c>
      <c r="I667" s="26">
        <f t="shared" si="65"/>
        <v>17999.99865665473</v>
      </c>
      <c r="J667" s="26">
        <f t="shared" si="64"/>
        <v>5965525</v>
      </c>
      <c r="K667" s="2">
        <f t="shared" si="60"/>
        <v>5332475.0492310841</v>
      </c>
    </row>
    <row r="668" spans="5:11" x14ac:dyDescent="0.25">
      <c r="E668">
        <v>0.66200000000000003</v>
      </c>
      <c r="F668" s="2">
        <f t="shared" si="61"/>
        <v>33100.0001331206</v>
      </c>
      <c r="G668" s="2">
        <f t="shared" si="62"/>
        <v>11916000.047923416</v>
      </c>
      <c r="H668" s="26">
        <f t="shared" si="63"/>
        <v>11316000.047923416</v>
      </c>
      <c r="I668" s="26">
        <f t="shared" si="65"/>
        <v>17999.998692331836</v>
      </c>
      <c r="J668" s="26">
        <f t="shared" si="64"/>
        <v>5974550</v>
      </c>
      <c r="K668" s="2">
        <f t="shared" si="60"/>
        <v>5341450.0479234159</v>
      </c>
    </row>
    <row r="669" spans="5:11" x14ac:dyDescent="0.25">
      <c r="E669">
        <v>0.66300000000000003</v>
      </c>
      <c r="F669" s="2">
        <f t="shared" si="61"/>
        <v>33150.000129584674</v>
      </c>
      <c r="G669" s="2">
        <f t="shared" si="62"/>
        <v>11934000.046650482</v>
      </c>
      <c r="H669" s="26">
        <f t="shared" si="63"/>
        <v>11334000.046650482</v>
      </c>
      <c r="I669" s="26">
        <f t="shared" si="65"/>
        <v>17999.998727066442</v>
      </c>
      <c r="J669" s="26">
        <f t="shared" si="64"/>
        <v>5983575</v>
      </c>
      <c r="K669" s="2">
        <f t="shared" si="60"/>
        <v>5350425.0466504823</v>
      </c>
    </row>
    <row r="670" spans="5:11" x14ac:dyDescent="0.25">
      <c r="E670">
        <v>0.66400000000000003</v>
      </c>
      <c r="F670" s="2">
        <f t="shared" si="61"/>
        <v>33200.000126142666</v>
      </c>
      <c r="G670" s="2">
        <f t="shared" si="62"/>
        <v>11952000.04541136</v>
      </c>
      <c r="H670" s="26">
        <f t="shared" si="63"/>
        <v>11352000.04541136</v>
      </c>
      <c r="I670" s="26">
        <f t="shared" si="65"/>
        <v>17999.998760877177</v>
      </c>
      <c r="J670" s="26">
        <f t="shared" si="64"/>
        <v>5992600</v>
      </c>
      <c r="K670" s="2">
        <f t="shared" si="60"/>
        <v>5359400.0454113595</v>
      </c>
    </row>
    <row r="671" spans="5:11" x14ac:dyDescent="0.25">
      <c r="E671">
        <v>0.66500000000000004</v>
      </c>
      <c r="F671" s="2">
        <f t="shared" si="61"/>
        <v>33250.00012279208</v>
      </c>
      <c r="G671" s="2">
        <f t="shared" si="62"/>
        <v>11970000.04420515</v>
      </c>
      <c r="H671" s="26">
        <f t="shared" si="63"/>
        <v>11370000.04420515</v>
      </c>
      <c r="I671" s="26">
        <f t="shared" si="65"/>
        <v>17999.998793790117</v>
      </c>
      <c r="J671" s="26">
        <f t="shared" si="64"/>
        <v>6001625</v>
      </c>
      <c r="K671" s="2">
        <f t="shared" si="60"/>
        <v>5368375.0442051496</v>
      </c>
    </row>
    <row r="672" spans="5:11" x14ac:dyDescent="0.25">
      <c r="E672">
        <v>0.66600000000000004</v>
      </c>
      <c r="F672" s="2">
        <f t="shared" si="61"/>
        <v>33300.000119530487</v>
      </c>
      <c r="G672" s="2">
        <f t="shared" si="62"/>
        <v>11988000.043030975</v>
      </c>
      <c r="H672" s="26">
        <f t="shared" si="63"/>
        <v>11388000.043030975</v>
      </c>
      <c r="I672" s="26">
        <f t="shared" si="65"/>
        <v>17999.998825825751</v>
      </c>
      <c r="J672" s="26">
        <f t="shared" si="64"/>
        <v>6010650</v>
      </c>
      <c r="K672" s="2">
        <f t="shared" si="60"/>
        <v>5377350.0430309754</v>
      </c>
    </row>
    <row r="673" spans="5:11" x14ac:dyDescent="0.25">
      <c r="E673">
        <v>0.66700000000000004</v>
      </c>
      <c r="F673" s="2">
        <f t="shared" si="61"/>
        <v>33350.000116355535</v>
      </c>
      <c r="G673" s="2">
        <f t="shared" si="62"/>
        <v>12006000.041887993</v>
      </c>
      <c r="H673" s="26">
        <f t="shared" si="63"/>
        <v>11406000.041887993</v>
      </c>
      <c r="I673" s="26">
        <f t="shared" si="65"/>
        <v>17999.998857017606</v>
      </c>
      <c r="J673" s="26">
        <f t="shared" si="64"/>
        <v>6019675</v>
      </c>
      <c r="K673" s="2">
        <f t="shared" si="60"/>
        <v>5386325.041887993</v>
      </c>
    </row>
    <row r="674" spans="5:11" x14ac:dyDescent="0.25">
      <c r="E674">
        <v>0.66800000000000004</v>
      </c>
      <c r="F674" s="2">
        <f t="shared" si="61"/>
        <v>33400.000113264905</v>
      </c>
      <c r="G674" s="2">
        <f t="shared" si="62"/>
        <v>12024000.040775366</v>
      </c>
      <c r="H674" s="26">
        <f t="shared" si="63"/>
        <v>11424000.040775366</v>
      </c>
      <c r="I674" s="26">
        <f t="shared" si="65"/>
        <v>17999.998887373134</v>
      </c>
      <c r="J674" s="26">
        <f t="shared" si="64"/>
        <v>6028700</v>
      </c>
      <c r="K674" s="2">
        <f t="shared" si="60"/>
        <v>5395300.0407753661</v>
      </c>
    </row>
    <row r="675" spans="5:11" x14ac:dyDescent="0.25">
      <c r="E675">
        <v>0.66900000000000004</v>
      </c>
      <c r="F675" s="2">
        <f t="shared" si="61"/>
        <v>33450.000110256369</v>
      </c>
      <c r="G675" s="2">
        <f t="shared" si="62"/>
        <v>12042000.039692294</v>
      </c>
      <c r="H675" s="26">
        <f t="shared" si="63"/>
        <v>11442000.039692294</v>
      </c>
      <c r="I675" s="26">
        <f t="shared" si="65"/>
        <v>17999.998916927725</v>
      </c>
      <c r="J675" s="26">
        <f t="shared" si="64"/>
        <v>6037725</v>
      </c>
      <c r="K675" s="2">
        <f t="shared" si="60"/>
        <v>5404275.0396922939</v>
      </c>
    </row>
    <row r="676" spans="5:11" x14ac:dyDescent="0.25">
      <c r="E676">
        <v>0.67</v>
      </c>
      <c r="F676" s="2">
        <f t="shared" si="61"/>
        <v>33500.000107327753</v>
      </c>
      <c r="G676" s="2">
        <f t="shared" si="62"/>
        <v>12060000.03863799</v>
      </c>
      <c r="H676" s="26">
        <f t="shared" si="63"/>
        <v>11460000.03863799</v>
      </c>
      <c r="I676" s="26">
        <f t="shared" si="65"/>
        <v>17999.998945696279</v>
      </c>
      <c r="J676" s="26">
        <f t="shared" si="64"/>
        <v>6046750</v>
      </c>
      <c r="K676" s="2">
        <f t="shared" si="60"/>
        <v>5413250.0386379901</v>
      </c>
    </row>
    <row r="677" spans="5:11" x14ac:dyDescent="0.25">
      <c r="E677">
        <v>0.67100000000000004</v>
      </c>
      <c r="F677" s="2">
        <f t="shared" si="61"/>
        <v>33550.000104476923</v>
      </c>
      <c r="G677" s="2">
        <f t="shared" si="62"/>
        <v>12078000.037611693</v>
      </c>
      <c r="H677" s="26">
        <f t="shared" si="63"/>
        <v>11478000.037611693</v>
      </c>
      <c r="I677" s="26">
        <f t="shared" si="65"/>
        <v>17999.998973703012</v>
      </c>
      <c r="J677" s="26">
        <f t="shared" si="64"/>
        <v>6055775</v>
      </c>
      <c r="K677" s="2">
        <f t="shared" si="60"/>
        <v>5422225.0376116931</v>
      </c>
    </row>
    <row r="678" spans="5:11" x14ac:dyDescent="0.25">
      <c r="E678">
        <v>0.67200000000000004</v>
      </c>
      <c r="F678" s="2">
        <f t="shared" si="61"/>
        <v>33600.000101701822</v>
      </c>
      <c r="G678" s="2">
        <f t="shared" si="62"/>
        <v>12096000.036612656</v>
      </c>
      <c r="H678" s="26">
        <f t="shared" si="63"/>
        <v>11496000.036612656</v>
      </c>
      <c r="I678" s="26">
        <f t="shared" si="65"/>
        <v>17999.999000962824</v>
      </c>
      <c r="J678" s="26">
        <f t="shared" si="64"/>
        <v>6064800</v>
      </c>
      <c r="K678" s="2">
        <f t="shared" si="60"/>
        <v>5431200.036612656</v>
      </c>
    </row>
    <row r="679" spans="5:11" x14ac:dyDescent="0.25">
      <c r="E679">
        <v>0.67300000000000004</v>
      </c>
      <c r="F679" s="2">
        <f t="shared" si="61"/>
        <v>33650.000099000434</v>
      </c>
      <c r="G679" s="2">
        <f t="shared" si="62"/>
        <v>12114000.035640156</v>
      </c>
      <c r="H679" s="26">
        <f t="shared" si="63"/>
        <v>11514000.035640156</v>
      </c>
      <c r="I679" s="26">
        <f t="shared" si="65"/>
        <v>17999.999027499929</v>
      </c>
      <c r="J679" s="26">
        <f t="shared" si="64"/>
        <v>6073825</v>
      </c>
      <c r="K679" s="2">
        <f t="shared" si="60"/>
        <v>5440175.0356401559</v>
      </c>
    </row>
    <row r="680" spans="5:11" x14ac:dyDescent="0.25">
      <c r="E680">
        <v>0.67400000000000004</v>
      </c>
      <c r="F680" s="2">
        <f t="shared" si="61"/>
        <v>33700.000096370801</v>
      </c>
      <c r="G680" s="2">
        <f t="shared" si="62"/>
        <v>12132000.034693489</v>
      </c>
      <c r="H680" s="26">
        <f t="shared" si="63"/>
        <v>11532000.034693489</v>
      </c>
      <c r="I680" s="26">
        <f t="shared" si="65"/>
        <v>17999.999053332955</v>
      </c>
      <c r="J680" s="26">
        <f t="shared" si="64"/>
        <v>6082850</v>
      </c>
      <c r="K680" s="2">
        <f t="shared" si="60"/>
        <v>5449150.0346934889</v>
      </c>
    </row>
    <row r="681" spans="5:11" x14ac:dyDescent="0.25">
      <c r="E681">
        <v>0.67500000000000004</v>
      </c>
      <c r="F681" s="2">
        <f t="shared" si="61"/>
        <v>33750.000093811024</v>
      </c>
      <c r="G681" s="2">
        <f t="shared" si="62"/>
        <v>12150000.033771969</v>
      </c>
      <c r="H681" s="26">
        <f t="shared" si="63"/>
        <v>11550000.033771969</v>
      </c>
      <c r="I681" s="26">
        <f t="shared" si="65"/>
        <v>17999.999078480527</v>
      </c>
      <c r="J681" s="26">
        <f t="shared" si="64"/>
        <v>6091875</v>
      </c>
      <c r="K681" s="2">
        <f t="shared" si="60"/>
        <v>5458125.0337719694</v>
      </c>
    </row>
    <row r="682" spans="5:11" x14ac:dyDescent="0.25">
      <c r="E682">
        <v>0.67600000000000005</v>
      </c>
      <c r="F682" s="2">
        <f t="shared" si="61"/>
        <v>33800.000091319242</v>
      </c>
      <c r="G682" s="2">
        <f t="shared" si="62"/>
        <v>12168000.032874927</v>
      </c>
      <c r="H682" s="26">
        <f t="shared" si="63"/>
        <v>11568000.032874927</v>
      </c>
      <c r="I682" s="26">
        <f t="shared" si="65"/>
        <v>17999.999102957547</v>
      </c>
      <c r="J682" s="26">
        <f t="shared" si="64"/>
        <v>6100900</v>
      </c>
      <c r="K682" s="2">
        <f t="shared" si="60"/>
        <v>5467100.0328749269</v>
      </c>
    </row>
    <row r="683" spans="5:11" x14ac:dyDescent="0.25">
      <c r="E683">
        <v>0.67700000000000005</v>
      </c>
      <c r="F683" s="2">
        <f t="shared" si="61"/>
        <v>33850.000088893648</v>
      </c>
      <c r="G683" s="2">
        <f t="shared" si="62"/>
        <v>12186000.032001713</v>
      </c>
      <c r="H683" s="26">
        <f t="shared" si="63"/>
        <v>11586000.032001713</v>
      </c>
      <c r="I683" s="26">
        <f t="shared" si="65"/>
        <v>17999.999126786366</v>
      </c>
      <c r="J683" s="26">
        <f t="shared" si="64"/>
        <v>6109925</v>
      </c>
      <c r="K683" s="2">
        <f t="shared" si="60"/>
        <v>5476075.0320017133</v>
      </c>
    </row>
    <row r="684" spans="5:11" x14ac:dyDescent="0.25">
      <c r="E684">
        <v>0.67800000000000005</v>
      </c>
      <c r="F684" s="2">
        <f t="shared" si="61"/>
        <v>33900.000086532491</v>
      </c>
      <c r="G684" s="2">
        <f t="shared" si="62"/>
        <v>12204000.031151697</v>
      </c>
      <c r="H684" s="26">
        <f t="shared" si="63"/>
        <v>11604000.031151697</v>
      </c>
      <c r="I684" s="26">
        <f t="shared" si="65"/>
        <v>17999.999149983749</v>
      </c>
      <c r="J684" s="26">
        <f t="shared" si="64"/>
        <v>6118950</v>
      </c>
      <c r="K684" s="2">
        <f t="shared" si="60"/>
        <v>5485050.031151697</v>
      </c>
    </row>
    <row r="685" spans="5:11" x14ac:dyDescent="0.25">
      <c r="E685">
        <v>0.67900000000000005</v>
      </c>
      <c r="F685" s="2">
        <f t="shared" si="61"/>
        <v>33950.00008423406</v>
      </c>
      <c r="G685" s="2">
        <f t="shared" si="62"/>
        <v>12222000.030324262</v>
      </c>
      <c r="H685" s="26">
        <f t="shared" si="63"/>
        <v>11622000.030324262</v>
      </c>
      <c r="I685" s="26">
        <f t="shared" si="65"/>
        <v>17999.999172564596</v>
      </c>
      <c r="J685" s="26">
        <f t="shared" si="64"/>
        <v>6127975</v>
      </c>
      <c r="K685" s="2">
        <f t="shared" si="60"/>
        <v>5494025.0303242616</v>
      </c>
    </row>
    <row r="686" spans="5:11" x14ac:dyDescent="0.25">
      <c r="E686">
        <v>0.68</v>
      </c>
      <c r="F686" s="2">
        <f t="shared" si="61"/>
        <v>34000.000081996674</v>
      </c>
      <c r="G686" s="2">
        <f t="shared" si="62"/>
        <v>12240000.029518802</v>
      </c>
      <c r="H686" s="26">
        <f t="shared" si="63"/>
        <v>11640000.029518802</v>
      </c>
      <c r="I686" s="26">
        <f t="shared" si="65"/>
        <v>17999.999194540083</v>
      </c>
      <c r="J686" s="26">
        <f t="shared" si="64"/>
        <v>6137000.0000000009</v>
      </c>
      <c r="K686" s="2">
        <f t="shared" si="60"/>
        <v>5503000.0295188008</v>
      </c>
    </row>
    <row r="687" spans="5:11" x14ac:dyDescent="0.25">
      <c r="E687">
        <v>0.68100000000000005</v>
      </c>
      <c r="F687" s="2">
        <f t="shared" si="61"/>
        <v>34050.000079818725</v>
      </c>
      <c r="G687" s="2">
        <f t="shared" si="62"/>
        <v>12258000.028734742</v>
      </c>
      <c r="H687" s="26">
        <f t="shared" si="63"/>
        <v>11658000.028734742</v>
      </c>
      <c r="I687" s="26">
        <f t="shared" si="65"/>
        <v>17999.999215940014</v>
      </c>
      <c r="J687" s="26">
        <f t="shared" si="64"/>
        <v>6146025.0000000009</v>
      </c>
      <c r="K687" s="2">
        <f t="shared" si="60"/>
        <v>5511975.0287347408</v>
      </c>
    </row>
    <row r="688" spans="5:11" x14ac:dyDescent="0.25">
      <c r="E688">
        <v>0.68200000000000005</v>
      </c>
      <c r="F688" s="2">
        <f t="shared" si="61"/>
        <v>34100.000077698634</v>
      </c>
      <c r="G688" s="2">
        <f t="shared" si="62"/>
        <v>12276000.027971508</v>
      </c>
      <c r="H688" s="26">
        <f t="shared" si="63"/>
        <v>11676000.027971508</v>
      </c>
      <c r="I688" s="26">
        <f t="shared" si="65"/>
        <v>17999.999236766249</v>
      </c>
      <c r="J688" s="26">
        <f t="shared" si="64"/>
        <v>6155050.0000000009</v>
      </c>
      <c r="K688" s="2">
        <f t="shared" si="60"/>
        <v>5520950.0279715071</v>
      </c>
    </row>
    <row r="689" spans="5:11" x14ac:dyDescent="0.25">
      <c r="E689">
        <v>0.68300000000000005</v>
      </c>
      <c r="F689" s="2">
        <f t="shared" si="61"/>
        <v>34150.000075634867</v>
      </c>
      <c r="G689" s="2">
        <f t="shared" si="62"/>
        <v>12294000.027228553</v>
      </c>
      <c r="H689" s="26">
        <f t="shared" si="63"/>
        <v>11694000.027228553</v>
      </c>
      <c r="I689" s="26">
        <f t="shared" si="65"/>
        <v>17999.999257044867</v>
      </c>
      <c r="J689" s="26">
        <f t="shared" si="64"/>
        <v>6164075.0000000009</v>
      </c>
      <c r="K689" s="2">
        <f t="shared" si="60"/>
        <v>5529925.0272285519</v>
      </c>
    </row>
    <row r="690" spans="5:11" x14ac:dyDescent="0.25">
      <c r="E690">
        <v>0.68400000000000005</v>
      </c>
      <c r="F690" s="2">
        <f t="shared" si="61"/>
        <v>34200.00007362591</v>
      </c>
      <c r="G690" s="2">
        <f t="shared" si="62"/>
        <v>12312000.026505327</v>
      </c>
      <c r="H690" s="26">
        <f t="shared" si="63"/>
        <v>11712000.026505327</v>
      </c>
      <c r="I690" s="26">
        <f t="shared" si="65"/>
        <v>17999.999276774004</v>
      </c>
      <c r="J690" s="26">
        <f t="shared" si="64"/>
        <v>6173100.0000000009</v>
      </c>
      <c r="K690" s="2">
        <f t="shared" si="60"/>
        <v>5538900.0265053259</v>
      </c>
    </row>
    <row r="691" spans="5:11" x14ac:dyDescent="0.25">
      <c r="E691">
        <v>0.68500000000000005</v>
      </c>
      <c r="F691" s="2">
        <f t="shared" si="61"/>
        <v>34250.000071670336</v>
      </c>
      <c r="G691" s="2">
        <f t="shared" si="62"/>
        <v>12330000.025801321</v>
      </c>
      <c r="H691" s="26">
        <f t="shared" si="63"/>
        <v>11730000.025801321</v>
      </c>
      <c r="I691" s="26">
        <f t="shared" si="65"/>
        <v>17999.999295994639</v>
      </c>
      <c r="J691" s="26">
        <f t="shared" si="64"/>
        <v>6182125.0000000009</v>
      </c>
      <c r="K691" s="2">
        <f t="shared" si="60"/>
        <v>5547875.0258013206</v>
      </c>
    </row>
    <row r="692" spans="5:11" x14ac:dyDescent="0.25">
      <c r="E692">
        <v>0.68600000000000005</v>
      </c>
      <c r="F692" s="2">
        <f t="shared" si="61"/>
        <v>34300.000069766691</v>
      </c>
      <c r="G692" s="2">
        <f t="shared" si="62"/>
        <v>12348000.02511601</v>
      </c>
      <c r="H692" s="26">
        <f t="shared" si="63"/>
        <v>11748000.02511601</v>
      </c>
      <c r="I692" s="26">
        <f t="shared" si="65"/>
        <v>17999.999314688146</v>
      </c>
      <c r="J692" s="26">
        <f t="shared" si="64"/>
        <v>6191150.0000000009</v>
      </c>
      <c r="K692" s="2">
        <f t="shared" si="60"/>
        <v>5556850.0251160087</v>
      </c>
    </row>
    <row r="693" spans="5:11" x14ac:dyDescent="0.25">
      <c r="E693">
        <v>0.68700000000000006</v>
      </c>
      <c r="F693" s="2">
        <f t="shared" si="61"/>
        <v>34350.000067913636</v>
      </c>
      <c r="G693" s="2">
        <f t="shared" si="62"/>
        <v>12366000.024448909</v>
      </c>
      <c r="H693" s="26">
        <f t="shared" si="63"/>
        <v>11766000.024448909</v>
      </c>
      <c r="I693" s="26">
        <f t="shared" si="65"/>
        <v>17999.999332899228</v>
      </c>
      <c r="J693" s="26">
        <f t="shared" si="64"/>
        <v>6200175.0000000009</v>
      </c>
      <c r="K693" s="2">
        <f t="shared" si="60"/>
        <v>5565825.0244489079</v>
      </c>
    </row>
    <row r="694" spans="5:11" x14ac:dyDescent="0.25">
      <c r="E694">
        <v>0.68799999999999994</v>
      </c>
      <c r="F694" s="2">
        <f t="shared" si="61"/>
        <v>34400.000066109795</v>
      </c>
      <c r="G694" s="2">
        <f t="shared" si="62"/>
        <v>12384000.023799526</v>
      </c>
      <c r="H694" s="26">
        <f t="shared" si="63"/>
        <v>11784000.023799526</v>
      </c>
      <c r="I694" s="26">
        <f t="shared" si="65"/>
        <v>17999.999350616708</v>
      </c>
      <c r="J694" s="26">
        <f t="shared" si="64"/>
        <v>6209199.9999999991</v>
      </c>
      <c r="K694" s="2">
        <f t="shared" si="60"/>
        <v>5574800.0237995265</v>
      </c>
    </row>
    <row r="695" spans="5:11" x14ac:dyDescent="0.25">
      <c r="E695">
        <v>0.68899999999999995</v>
      </c>
      <c r="F695" s="2">
        <f t="shared" si="61"/>
        <v>34450.000064353881</v>
      </c>
      <c r="G695" s="2">
        <f t="shared" si="62"/>
        <v>12402000.023167398</v>
      </c>
      <c r="H695" s="26">
        <f t="shared" si="63"/>
        <v>11802000.023167398</v>
      </c>
      <c r="I695" s="26">
        <f t="shared" si="65"/>
        <v>17999.999367872253</v>
      </c>
      <c r="J695" s="26">
        <f t="shared" si="64"/>
        <v>6218224.9999999991</v>
      </c>
      <c r="K695" s="2">
        <f t="shared" si="60"/>
        <v>5583775.0231673988</v>
      </c>
    </row>
    <row r="696" spans="5:11" x14ac:dyDescent="0.25">
      <c r="E696">
        <v>0.69</v>
      </c>
      <c r="F696" s="2">
        <f t="shared" si="61"/>
        <v>34500.000062644613</v>
      </c>
      <c r="G696" s="2">
        <f t="shared" si="62"/>
        <v>12420000.02255206</v>
      </c>
      <c r="H696" s="26">
        <f t="shared" si="63"/>
        <v>11820000.02255206</v>
      </c>
      <c r="I696" s="26">
        <f t="shared" si="65"/>
        <v>17999.999384662136</v>
      </c>
      <c r="J696" s="26">
        <f t="shared" si="64"/>
        <v>6227249.9999999991</v>
      </c>
      <c r="K696" s="2">
        <f t="shared" si="60"/>
        <v>5592750.0225520609</v>
      </c>
    </row>
    <row r="697" spans="5:11" x14ac:dyDescent="0.25">
      <c r="E697">
        <v>0.69099999999999995</v>
      </c>
      <c r="F697" s="2">
        <f t="shared" si="61"/>
        <v>34550.000060980739</v>
      </c>
      <c r="G697" s="2">
        <f t="shared" si="62"/>
        <v>12438000.021953067</v>
      </c>
      <c r="H697" s="26">
        <f t="shared" si="63"/>
        <v>11838000.021953067</v>
      </c>
      <c r="I697" s="26">
        <f t="shared" si="65"/>
        <v>17999.999401006848</v>
      </c>
      <c r="J697" s="26">
        <f t="shared" si="64"/>
        <v>6236274.9999999991</v>
      </c>
      <c r="K697" s="2">
        <f t="shared" si="60"/>
        <v>5601725.0219530677</v>
      </c>
    </row>
    <row r="698" spans="5:11" x14ac:dyDescent="0.25">
      <c r="E698">
        <v>0.69199999999999995</v>
      </c>
      <c r="F698" s="2">
        <f t="shared" si="61"/>
        <v>34600.000059361082</v>
      </c>
      <c r="G698" s="2">
        <f t="shared" si="62"/>
        <v>12456000.02136999</v>
      </c>
      <c r="H698" s="26">
        <f t="shared" si="63"/>
        <v>11856000.02136999</v>
      </c>
      <c r="I698" s="26">
        <f t="shared" si="65"/>
        <v>17999.99941692315</v>
      </c>
      <c r="J698" s="26">
        <f t="shared" si="64"/>
        <v>6245299.9999999991</v>
      </c>
      <c r="K698" s="2">
        <f t="shared" si="60"/>
        <v>5610700.0213699909</v>
      </c>
    </row>
    <row r="699" spans="5:11" x14ac:dyDescent="0.25">
      <c r="E699">
        <v>0.69299999999999995</v>
      </c>
      <c r="F699" s="2">
        <f t="shared" si="61"/>
        <v>34650.000057784448</v>
      </c>
      <c r="G699" s="2">
        <f t="shared" si="62"/>
        <v>12474000.020802401</v>
      </c>
      <c r="H699" s="26">
        <f t="shared" si="63"/>
        <v>11874000.020802401</v>
      </c>
      <c r="I699" s="26">
        <f t="shared" si="65"/>
        <v>17999.999432411045</v>
      </c>
      <c r="J699" s="26">
        <f t="shared" si="64"/>
        <v>6254324.9999999991</v>
      </c>
      <c r="K699" s="2">
        <f t="shared" si="60"/>
        <v>5619675.0208024019</v>
      </c>
    </row>
    <row r="700" spans="5:11" x14ac:dyDescent="0.25">
      <c r="E700">
        <v>0.69399999999999995</v>
      </c>
      <c r="F700" s="2">
        <f t="shared" si="61"/>
        <v>34700.000056249693</v>
      </c>
      <c r="G700" s="2">
        <f t="shared" si="62"/>
        <v>12492000.02024989</v>
      </c>
      <c r="H700" s="26">
        <f t="shared" si="63"/>
        <v>11892000.02024989</v>
      </c>
      <c r="I700" s="26">
        <f t="shared" si="65"/>
        <v>17999.999447489157</v>
      </c>
      <c r="J700" s="26">
        <f t="shared" si="64"/>
        <v>6263349.9999999991</v>
      </c>
      <c r="K700" s="2">
        <f t="shared" si="60"/>
        <v>5628650.0202498911</v>
      </c>
    </row>
    <row r="701" spans="5:11" x14ac:dyDescent="0.25">
      <c r="E701">
        <v>0.69499999999999995</v>
      </c>
      <c r="F701" s="2">
        <f t="shared" si="61"/>
        <v>34750.000054755721</v>
      </c>
      <c r="G701" s="2">
        <f t="shared" si="62"/>
        <v>12510000.019712059</v>
      </c>
      <c r="H701" s="26">
        <f t="shared" si="63"/>
        <v>11910000.019712059</v>
      </c>
      <c r="I701" s="26">
        <f t="shared" si="65"/>
        <v>17999.999462168664</v>
      </c>
      <c r="J701" s="26">
        <f t="shared" si="64"/>
        <v>6272374.9999999991</v>
      </c>
      <c r="K701" s="2">
        <f t="shared" si="60"/>
        <v>5637625.0197120598</v>
      </c>
    </row>
    <row r="702" spans="5:11" x14ac:dyDescent="0.25">
      <c r="E702">
        <v>0.69599999999999995</v>
      </c>
      <c r="F702" s="2">
        <f t="shared" si="61"/>
        <v>34800.000053301432</v>
      </c>
      <c r="G702" s="2">
        <f t="shared" si="62"/>
        <v>12528000.019188516</v>
      </c>
      <c r="H702" s="26">
        <f t="shared" si="63"/>
        <v>11928000.019188516</v>
      </c>
      <c r="I702" s="26">
        <f t="shared" si="65"/>
        <v>17999.999476457015</v>
      </c>
      <c r="J702" s="26">
        <f t="shared" si="64"/>
        <v>6281400</v>
      </c>
      <c r="K702" s="2">
        <f t="shared" si="60"/>
        <v>5646600.0191885158</v>
      </c>
    </row>
    <row r="703" spans="5:11" x14ac:dyDescent="0.25">
      <c r="E703">
        <v>0.69699999999999995</v>
      </c>
      <c r="F703" s="2">
        <f t="shared" si="61"/>
        <v>34850.000051885771</v>
      </c>
      <c r="G703" s="2">
        <f t="shared" si="62"/>
        <v>12546000.018678878</v>
      </c>
      <c r="H703" s="26">
        <f t="shared" si="63"/>
        <v>11946000.018678878</v>
      </c>
      <c r="I703" s="26">
        <f t="shared" si="65"/>
        <v>17999.999490361661</v>
      </c>
      <c r="J703" s="26">
        <f t="shared" si="64"/>
        <v>6290425</v>
      </c>
      <c r="K703" s="2">
        <f t="shared" si="60"/>
        <v>5655575.0186788775</v>
      </c>
    </row>
    <row r="704" spans="5:11" x14ac:dyDescent="0.25">
      <c r="E704">
        <v>0.69799999999999995</v>
      </c>
      <c r="F704" s="2">
        <f t="shared" si="61"/>
        <v>34900.000050507726</v>
      </c>
      <c r="G704" s="2">
        <f t="shared" si="62"/>
        <v>12564000.018182781</v>
      </c>
      <c r="H704" s="26">
        <f t="shared" si="63"/>
        <v>11964000.018182781</v>
      </c>
      <c r="I704" s="26">
        <f t="shared" si="65"/>
        <v>17999.999503903091</v>
      </c>
      <c r="J704" s="26">
        <f t="shared" si="64"/>
        <v>6299450</v>
      </c>
      <c r="K704" s="2">
        <f t="shared" si="60"/>
        <v>5664550.0181827806</v>
      </c>
    </row>
    <row r="705" spans="5:11" x14ac:dyDescent="0.25">
      <c r="E705">
        <v>0.69899999999999995</v>
      </c>
      <c r="F705" s="2">
        <f t="shared" si="61"/>
        <v>34950.000049166279</v>
      </c>
      <c r="G705" s="2">
        <f t="shared" si="62"/>
        <v>12582000.01769986</v>
      </c>
      <c r="H705" s="26">
        <f t="shared" si="63"/>
        <v>11982000.01769986</v>
      </c>
      <c r="I705" s="26">
        <f t="shared" si="65"/>
        <v>17999.999517079443</v>
      </c>
      <c r="J705" s="26">
        <f t="shared" si="64"/>
        <v>6308475</v>
      </c>
      <c r="K705" s="2">
        <f t="shared" si="60"/>
        <v>5673525.01769986</v>
      </c>
    </row>
    <row r="706" spans="5:11" x14ac:dyDescent="0.25">
      <c r="E706">
        <v>0.7</v>
      </c>
      <c r="F706" s="2">
        <f t="shared" si="61"/>
        <v>35000.000047860478</v>
      </c>
      <c r="G706" s="2">
        <f t="shared" si="62"/>
        <v>12600000.017229771</v>
      </c>
      <c r="H706" s="26">
        <f t="shared" si="63"/>
        <v>12000000.017229771</v>
      </c>
      <c r="I706" s="26">
        <f t="shared" si="65"/>
        <v>17999.999529911205</v>
      </c>
      <c r="J706" s="26">
        <f t="shared" si="64"/>
        <v>6317500</v>
      </c>
      <c r="K706" s="2">
        <f t="shared" si="60"/>
        <v>5682500.0172297712</v>
      </c>
    </row>
    <row r="707" spans="5:11" x14ac:dyDescent="0.25">
      <c r="E707">
        <v>0.70099999999999996</v>
      </c>
      <c r="F707" s="2">
        <f t="shared" si="61"/>
        <v>35050.000046589368</v>
      </c>
      <c r="G707" s="2">
        <f t="shared" si="62"/>
        <v>12618000.016772173</v>
      </c>
      <c r="H707" s="26">
        <f t="shared" si="63"/>
        <v>12018000.016772173</v>
      </c>
      <c r="I707" s="26">
        <f t="shared" si="65"/>
        <v>17999.999542402104</v>
      </c>
      <c r="J707" s="26">
        <f t="shared" si="64"/>
        <v>6326525</v>
      </c>
      <c r="K707" s="2">
        <f t="shared" si="60"/>
        <v>5691475.0167721733</v>
      </c>
    </row>
    <row r="708" spans="5:11" x14ac:dyDescent="0.25">
      <c r="E708">
        <v>0.70199999999999996</v>
      </c>
      <c r="F708" s="2">
        <f t="shared" si="61"/>
        <v>35100.000045352019</v>
      </c>
      <c r="G708" s="2">
        <f t="shared" si="62"/>
        <v>12636000.016326727</v>
      </c>
      <c r="H708" s="26">
        <f t="shared" si="63"/>
        <v>12036000.016326727</v>
      </c>
      <c r="I708" s="26">
        <f t="shared" si="65"/>
        <v>17999.999554554</v>
      </c>
      <c r="J708" s="26">
        <f t="shared" si="64"/>
        <v>6335550</v>
      </c>
      <c r="K708" s="2">
        <f t="shared" si="60"/>
        <v>5700450.0163267273</v>
      </c>
    </row>
    <row r="709" spans="5:11" x14ac:dyDescent="0.25">
      <c r="E709">
        <v>0.70299999999999996</v>
      </c>
      <c r="F709" s="2">
        <f t="shared" si="61"/>
        <v>35150.000044147549</v>
      </c>
      <c r="G709" s="2">
        <f t="shared" si="62"/>
        <v>12654000.015893118</v>
      </c>
      <c r="H709" s="26">
        <f t="shared" si="63"/>
        <v>12054000.015893118</v>
      </c>
      <c r="I709" s="26">
        <f t="shared" si="65"/>
        <v>17999.99956639111</v>
      </c>
      <c r="J709" s="26">
        <f t="shared" si="64"/>
        <v>6344575</v>
      </c>
      <c r="K709" s="2">
        <f t="shared" si="60"/>
        <v>5709425.0158931185</v>
      </c>
    </row>
    <row r="710" spans="5:11" x14ac:dyDescent="0.25">
      <c r="E710">
        <v>0.70399999999999996</v>
      </c>
      <c r="F710" s="2">
        <f t="shared" si="61"/>
        <v>35200.000042975073</v>
      </c>
      <c r="G710" s="2">
        <f t="shared" si="62"/>
        <v>12672000.015471026</v>
      </c>
      <c r="H710" s="26">
        <f t="shared" si="63"/>
        <v>12072000.015471026</v>
      </c>
      <c r="I710" s="26">
        <f t="shared" si="65"/>
        <v>17999.999577907845</v>
      </c>
      <c r="J710" s="26">
        <f t="shared" si="64"/>
        <v>6353600</v>
      </c>
      <c r="K710" s="2">
        <f t="shared" ref="K710:K773" si="66">H710-J710</f>
        <v>5718400.0154710263</v>
      </c>
    </row>
    <row r="711" spans="5:11" x14ac:dyDescent="0.25">
      <c r="E711">
        <v>0.70499999999999996</v>
      </c>
      <c r="F711" s="2">
        <f t="shared" ref="F711:F774" si="67">PMT(E711/12,$C$7,-$C$6,0,0)</f>
        <v>35250.000041833737</v>
      </c>
      <c r="G711" s="2">
        <f t="shared" ref="G711:G774" si="68">360*F711</f>
        <v>12690000.015060145</v>
      </c>
      <c r="H711" s="26">
        <f t="shared" ref="H711:H774" si="69">360*F711-$C$6</f>
        <v>12090000.015060145</v>
      </c>
      <c r="I711" s="26">
        <f t="shared" si="65"/>
        <v>17999.999589119107</v>
      </c>
      <c r="J711" s="26">
        <f t="shared" ref="J711:J774" si="70">$C$6*E711/12*($C$7+1)/2</f>
        <v>6362625</v>
      </c>
      <c r="K711" s="2">
        <f t="shared" si="66"/>
        <v>5727375.0150601454</v>
      </c>
    </row>
    <row r="712" spans="5:11" x14ac:dyDescent="0.25">
      <c r="E712">
        <v>0.70599999999999996</v>
      </c>
      <c r="F712" s="2">
        <f t="shared" si="67"/>
        <v>35300.000040722734</v>
      </c>
      <c r="G712" s="2">
        <f t="shared" si="68"/>
        <v>12708000.014660185</v>
      </c>
      <c r="H712" s="26">
        <f t="shared" si="69"/>
        <v>12108000.014660185</v>
      </c>
      <c r="I712" s="26">
        <f t="shared" si="65"/>
        <v>17999.999600039795</v>
      </c>
      <c r="J712" s="26">
        <f t="shared" si="70"/>
        <v>6371650</v>
      </c>
      <c r="K712" s="2">
        <f t="shared" si="66"/>
        <v>5736350.0146601852</v>
      </c>
    </row>
    <row r="713" spans="5:11" x14ac:dyDescent="0.25">
      <c r="E713">
        <v>0.70699999999999996</v>
      </c>
      <c r="F713" s="2">
        <f t="shared" si="67"/>
        <v>35350.000039641236</v>
      </c>
      <c r="G713" s="2">
        <f t="shared" si="68"/>
        <v>12726000.014270846</v>
      </c>
      <c r="H713" s="26">
        <f t="shared" si="69"/>
        <v>12126000.014270846</v>
      </c>
      <c r="I713" s="26">
        <f t="shared" ref="I713:I776" si="71">H713-H712</f>
        <v>17999.999610660598</v>
      </c>
      <c r="J713" s="26">
        <f t="shared" si="70"/>
        <v>6380675</v>
      </c>
      <c r="K713" s="2">
        <f t="shared" si="66"/>
        <v>5745325.0142708458</v>
      </c>
    </row>
    <row r="714" spans="5:11" x14ac:dyDescent="0.25">
      <c r="E714">
        <v>0.70799999999999996</v>
      </c>
      <c r="F714" s="2">
        <f t="shared" si="67"/>
        <v>35400.000038588478</v>
      </c>
      <c r="G714" s="2">
        <f t="shared" si="68"/>
        <v>12744000.013891852</v>
      </c>
      <c r="H714" s="26">
        <f t="shared" si="69"/>
        <v>12144000.013891852</v>
      </c>
      <c r="I714" s="26">
        <f t="shared" si="71"/>
        <v>17999.999621005729</v>
      </c>
      <c r="J714" s="26">
        <f t="shared" si="70"/>
        <v>6389700</v>
      </c>
      <c r="K714" s="2">
        <f t="shared" si="66"/>
        <v>5754300.0138918515</v>
      </c>
    </row>
    <row r="715" spans="5:11" x14ac:dyDescent="0.25">
      <c r="E715">
        <v>0.70899999999999996</v>
      </c>
      <c r="F715" s="2">
        <f t="shared" si="67"/>
        <v>35450.000037563681</v>
      </c>
      <c r="G715" s="2">
        <f t="shared" si="68"/>
        <v>12762000.013522925</v>
      </c>
      <c r="H715" s="26">
        <f t="shared" si="69"/>
        <v>12162000.013522925</v>
      </c>
      <c r="I715" s="26">
        <f t="shared" si="71"/>
        <v>17999.999631073326</v>
      </c>
      <c r="J715" s="26">
        <f t="shared" si="70"/>
        <v>6398725</v>
      </c>
      <c r="K715" s="2">
        <f t="shared" si="66"/>
        <v>5763275.0135229249</v>
      </c>
    </row>
    <row r="716" spans="5:11" x14ac:dyDescent="0.25">
      <c r="E716">
        <v>0.71</v>
      </c>
      <c r="F716" s="2">
        <f t="shared" si="67"/>
        <v>35500.000036566104</v>
      </c>
      <c r="G716" s="2">
        <f t="shared" si="68"/>
        <v>12780000.013163798</v>
      </c>
      <c r="H716" s="26">
        <f t="shared" si="69"/>
        <v>12180000.013163798</v>
      </c>
      <c r="I716" s="26">
        <f t="shared" si="71"/>
        <v>17999.999640872702</v>
      </c>
      <c r="J716" s="26">
        <f t="shared" si="70"/>
        <v>6407750</v>
      </c>
      <c r="K716" s="2">
        <f t="shared" si="66"/>
        <v>5772250.0131637976</v>
      </c>
    </row>
    <row r="717" spans="5:11" x14ac:dyDescent="0.25">
      <c r="E717">
        <v>0.71099999999999997</v>
      </c>
      <c r="F717" s="2">
        <f t="shared" si="67"/>
        <v>35550.000035595032</v>
      </c>
      <c r="G717" s="2">
        <f t="shared" si="68"/>
        <v>12798000.012814213</v>
      </c>
      <c r="H717" s="26">
        <f t="shared" si="69"/>
        <v>12198000.012814213</v>
      </c>
      <c r="I717" s="26">
        <f t="shared" si="71"/>
        <v>17999.999650415033</v>
      </c>
      <c r="J717" s="26">
        <f t="shared" si="70"/>
        <v>6416775</v>
      </c>
      <c r="K717" s="2">
        <f t="shared" si="66"/>
        <v>5781225.0128142126</v>
      </c>
    </row>
    <row r="718" spans="5:11" x14ac:dyDescent="0.25">
      <c r="E718">
        <v>0.71199999999999997</v>
      </c>
      <c r="F718" s="2">
        <f t="shared" si="67"/>
        <v>35600.000034649762</v>
      </c>
      <c r="G718" s="2">
        <f t="shared" si="68"/>
        <v>12816000.012473915</v>
      </c>
      <c r="H718" s="26">
        <f t="shared" si="69"/>
        <v>12216000.012473915</v>
      </c>
      <c r="I718" s="26">
        <f t="shared" si="71"/>
        <v>17999.999659702182</v>
      </c>
      <c r="J718" s="26">
        <f t="shared" si="70"/>
        <v>6425800</v>
      </c>
      <c r="K718" s="2">
        <f t="shared" si="66"/>
        <v>5790200.0124739148</v>
      </c>
    </row>
    <row r="719" spans="5:11" x14ac:dyDescent="0.25">
      <c r="E719">
        <v>0.71299999999999997</v>
      </c>
      <c r="F719" s="2">
        <f t="shared" si="67"/>
        <v>35650.000033729601</v>
      </c>
      <c r="G719" s="2">
        <f t="shared" si="68"/>
        <v>12834000.012142656</v>
      </c>
      <c r="H719" s="26">
        <f t="shared" si="69"/>
        <v>12234000.012142656</v>
      </c>
      <c r="I719" s="26">
        <f t="shared" si="71"/>
        <v>17999.999668741599</v>
      </c>
      <c r="J719" s="26">
        <f t="shared" si="70"/>
        <v>6434825</v>
      </c>
      <c r="K719" s="2">
        <f t="shared" si="66"/>
        <v>5799175.0121426564</v>
      </c>
    </row>
    <row r="720" spans="5:11" x14ac:dyDescent="0.25">
      <c r="E720">
        <v>0.71399999999999997</v>
      </c>
      <c r="F720" s="2">
        <f t="shared" si="67"/>
        <v>35700.000032833879</v>
      </c>
      <c r="G720" s="2">
        <f t="shared" si="68"/>
        <v>12852000.011820197</v>
      </c>
      <c r="H720" s="26">
        <f t="shared" si="69"/>
        <v>12252000.011820197</v>
      </c>
      <c r="I720" s="26">
        <f t="shared" si="71"/>
        <v>17999.999677540734</v>
      </c>
      <c r="J720" s="26">
        <f t="shared" si="70"/>
        <v>6443850</v>
      </c>
      <c r="K720" s="2">
        <f t="shared" si="66"/>
        <v>5808150.0118201971</v>
      </c>
    </row>
    <row r="721" spans="5:11" x14ac:dyDescent="0.25">
      <c r="E721">
        <v>0.71499999999999997</v>
      </c>
      <c r="F721" s="2">
        <f t="shared" si="67"/>
        <v>35750.000031961958</v>
      </c>
      <c r="G721" s="2">
        <f t="shared" si="68"/>
        <v>12870000.011506304</v>
      </c>
      <c r="H721" s="26">
        <f t="shared" si="69"/>
        <v>12270000.011506304</v>
      </c>
      <c r="I721" s="26">
        <f t="shared" si="71"/>
        <v>17999.999686107039</v>
      </c>
      <c r="J721" s="26">
        <f t="shared" si="70"/>
        <v>6452875</v>
      </c>
      <c r="K721" s="2">
        <f t="shared" si="66"/>
        <v>5817125.0115063041</v>
      </c>
    </row>
    <row r="722" spans="5:11" x14ac:dyDescent="0.25">
      <c r="E722">
        <v>0.71599999999999997</v>
      </c>
      <c r="F722" s="2">
        <f t="shared" si="67"/>
        <v>35800.000031113203</v>
      </c>
      <c r="G722" s="2">
        <f t="shared" si="68"/>
        <v>12888000.011200752</v>
      </c>
      <c r="H722" s="26">
        <f t="shared" si="69"/>
        <v>12288000.011200752</v>
      </c>
      <c r="I722" s="26">
        <f t="shared" si="71"/>
        <v>17999.999694447964</v>
      </c>
      <c r="J722" s="26">
        <f t="shared" si="70"/>
        <v>6461900</v>
      </c>
      <c r="K722" s="2">
        <f t="shared" si="66"/>
        <v>5826100.0112007521</v>
      </c>
    </row>
    <row r="723" spans="5:11" x14ac:dyDescent="0.25">
      <c r="E723">
        <v>0.71699999999999997</v>
      </c>
      <c r="F723" s="2">
        <f t="shared" si="67"/>
        <v>35850.000030286988</v>
      </c>
      <c r="G723" s="2">
        <f t="shared" si="68"/>
        <v>12906000.010903316</v>
      </c>
      <c r="H723" s="26">
        <f t="shared" si="69"/>
        <v>12306000.010903316</v>
      </c>
      <c r="I723" s="26">
        <f t="shared" si="71"/>
        <v>17999.999702563509</v>
      </c>
      <c r="J723" s="26">
        <f t="shared" si="70"/>
        <v>6470925</v>
      </c>
      <c r="K723" s="2">
        <f t="shared" si="66"/>
        <v>5835075.0109033156</v>
      </c>
    </row>
    <row r="724" spans="5:11" x14ac:dyDescent="0.25">
      <c r="E724">
        <v>0.71799999999999997</v>
      </c>
      <c r="F724" s="2">
        <f t="shared" si="67"/>
        <v>35900.000029482719</v>
      </c>
      <c r="G724" s="2">
        <f t="shared" si="68"/>
        <v>12924000.010613779</v>
      </c>
      <c r="H724" s="26">
        <f t="shared" si="69"/>
        <v>12324000.010613779</v>
      </c>
      <c r="I724" s="26">
        <f t="shared" si="71"/>
        <v>17999.999710462987</v>
      </c>
      <c r="J724" s="26">
        <f t="shared" si="70"/>
        <v>6479950</v>
      </c>
      <c r="K724" s="2">
        <f t="shared" si="66"/>
        <v>5844050.0106137786</v>
      </c>
    </row>
    <row r="725" spans="5:11" x14ac:dyDescent="0.25">
      <c r="E725">
        <v>0.71899999999999997</v>
      </c>
      <c r="F725" s="2">
        <f t="shared" si="67"/>
        <v>35950.000028699818</v>
      </c>
      <c r="G725" s="2">
        <f t="shared" si="68"/>
        <v>12942000.010331934</v>
      </c>
      <c r="H725" s="26">
        <f t="shared" si="69"/>
        <v>12342000.010331934</v>
      </c>
      <c r="I725" s="26">
        <f t="shared" si="71"/>
        <v>17999.999718155712</v>
      </c>
      <c r="J725" s="26">
        <f t="shared" si="70"/>
        <v>6488975</v>
      </c>
      <c r="K725" s="2">
        <f t="shared" si="66"/>
        <v>5853025.0103319343</v>
      </c>
    </row>
    <row r="726" spans="5:11" x14ac:dyDescent="0.25">
      <c r="E726">
        <v>0.72</v>
      </c>
      <c r="F726" s="2">
        <f t="shared" si="67"/>
        <v>36000.00002793772</v>
      </c>
      <c r="G726" s="2">
        <f t="shared" si="68"/>
        <v>12960000.01005758</v>
      </c>
      <c r="H726" s="26">
        <f t="shared" si="69"/>
        <v>12360000.01005758</v>
      </c>
      <c r="I726" s="26">
        <f t="shared" si="71"/>
        <v>17999.999725645408</v>
      </c>
      <c r="J726" s="26">
        <f t="shared" si="70"/>
        <v>6498000</v>
      </c>
      <c r="K726" s="2">
        <f t="shared" si="66"/>
        <v>5862000.0100575797</v>
      </c>
    </row>
    <row r="727" spans="5:11" x14ac:dyDescent="0.25">
      <c r="E727">
        <v>0.72099999999999997</v>
      </c>
      <c r="F727" s="2">
        <f t="shared" si="67"/>
        <v>36050.000027195863</v>
      </c>
      <c r="G727" s="2">
        <f t="shared" si="68"/>
        <v>12978000.00979051</v>
      </c>
      <c r="H727" s="26">
        <f t="shared" si="69"/>
        <v>12378000.00979051</v>
      </c>
      <c r="I727" s="26">
        <f t="shared" si="71"/>
        <v>17999.999732930213</v>
      </c>
      <c r="J727" s="26">
        <f t="shared" si="70"/>
        <v>6507025</v>
      </c>
      <c r="K727" s="2">
        <f t="shared" si="66"/>
        <v>5870975.0097905099</v>
      </c>
    </row>
    <row r="728" spans="5:11" x14ac:dyDescent="0.25">
      <c r="E728">
        <v>0.72199999999999998</v>
      </c>
      <c r="F728" s="2">
        <f t="shared" si="67"/>
        <v>36100.000026473717</v>
      </c>
      <c r="G728" s="2">
        <f t="shared" si="68"/>
        <v>12996000.009530539</v>
      </c>
      <c r="H728" s="26">
        <f t="shared" si="69"/>
        <v>12396000.009530539</v>
      </c>
      <c r="I728" s="26">
        <f t="shared" si="71"/>
        <v>17999.999740028754</v>
      </c>
      <c r="J728" s="26">
        <f t="shared" si="70"/>
        <v>6516050</v>
      </c>
      <c r="K728" s="2">
        <f t="shared" si="66"/>
        <v>5879950.0095305387</v>
      </c>
    </row>
    <row r="729" spans="5:11" x14ac:dyDescent="0.25">
      <c r="E729">
        <v>0.72299999999999998</v>
      </c>
      <c r="F729" s="2">
        <f t="shared" si="67"/>
        <v>36150.000025770751</v>
      </c>
      <c r="G729" s="2">
        <f t="shared" si="68"/>
        <v>13014000.00927747</v>
      </c>
      <c r="H729" s="26">
        <f t="shared" si="69"/>
        <v>12414000.00927747</v>
      </c>
      <c r="I729" s="26">
        <f t="shared" si="71"/>
        <v>17999.999746931717</v>
      </c>
      <c r="J729" s="26">
        <f t="shared" si="70"/>
        <v>6525075</v>
      </c>
      <c r="K729" s="2">
        <f t="shared" si="66"/>
        <v>5888925.0092774704</v>
      </c>
    </row>
    <row r="730" spans="5:11" x14ac:dyDescent="0.25">
      <c r="E730">
        <v>0.72399999999999998</v>
      </c>
      <c r="F730" s="2">
        <f t="shared" si="67"/>
        <v>36200.000025086461</v>
      </c>
      <c r="G730" s="2">
        <f t="shared" si="68"/>
        <v>13032000.009031126</v>
      </c>
      <c r="H730" s="26">
        <f t="shared" si="69"/>
        <v>12432000.009031126</v>
      </c>
      <c r="I730" s="26">
        <f t="shared" si="71"/>
        <v>17999.999753655866</v>
      </c>
      <c r="J730" s="26">
        <f t="shared" si="70"/>
        <v>6534100</v>
      </c>
      <c r="K730" s="2">
        <f t="shared" si="66"/>
        <v>5897900.0090311263</v>
      </c>
    </row>
    <row r="731" spans="5:11" x14ac:dyDescent="0.25">
      <c r="E731">
        <v>0.72499999999999998</v>
      </c>
      <c r="F731" s="2">
        <f t="shared" si="67"/>
        <v>36250.000024420347</v>
      </c>
      <c r="G731" s="2">
        <f t="shared" si="68"/>
        <v>13050000.008791326</v>
      </c>
      <c r="H731" s="26">
        <f t="shared" si="69"/>
        <v>12450000.008791326</v>
      </c>
      <c r="I731" s="26">
        <f t="shared" si="71"/>
        <v>17999.999760199338</v>
      </c>
      <c r="J731" s="26">
        <f t="shared" si="70"/>
        <v>6543125</v>
      </c>
      <c r="K731" s="2">
        <f t="shared" si="66"/>
        <v>5906875.0087913256</v>
      </c>
    </row>
    <row r="732" spans="5:11" x14ac:dyDescent="0.25">
      <c r="E732">
        <v>0.72599999999999998</v>
      </c>
      <c r="F732" s="2">
        <f t="shared" si="67"/>
        <v>36300.000023771929</v>
      </c>
      <c r="G732" s="2">
        <f t="shared" si="68"/>
        <v>13068000.008557895</v>
      </c>
      <c r="H732" s="26">
        <f t="shared" si="69"/>
        <v>12468000.008557895</v>
      </c>
      <c r="I732" s="26">
        <f t="shared" si="71"/>
        <v>17999.999766569585</v>
      </c>
      <c r="J732" s="26">
        <f t="shared" si="70"/>
        <v>6552150</v>
      </c>
      <c r="K732" s="2">
        <f t="shared" si="66"/>
        <v>5915850.0085578952</v>
      </c>
    </row>
    <row r="733" spans="5:11" x14ac:dyDescent="0.25">
      <c r="E733">
        <v>0.72699999999999998</v>
      </c>
      <c r="F733" s="2">
        <f t="shared" si="67"/>
        <v>36350.000023140732</v>
      </c>
      <c r="G733" s="2">
        <f t="shared" si="68"/>
        <v>13086000.008330664</v>
      </c>
      <c r="H733" s="26">
        <f t="shared" si="69"/>
        <v>12486000.008330664</v>
      </c>
      <c r="I733" s="26">
        <f t="shared" si="71"/>
        <v>17999.999772768468</v>
      </c>
      <c r="J733" s="26">
        <f t="shared" si="70"/>
        <v>6561175</v>
      </c>
      <c r="K733" s="2">
        <f t="shared" si="66"/>
        <v>5924825.0083306637</v>
      </c>
    </row>
    <row r="734" spans="5:11" x14ac:dyDescent="0.25">
      <c r="E734">
        <v>0.72799999999999998</v>
      </c>
      <c r="F734" s="2">
        <f t="shared" si="67"/>
        <v>36400.000022526307</v>
      </c>
      <c r="G734" s="2">
        <f t="shared" si="68"/>
        <v>13104000.008109471</v>
      </c>
      <c r="H734" s="26">
        <f t="shared" si="69"/>
        <v>12504000.008109471</v>
      </c>
      <c r="I734" s="26">
        <f t="shared" si="71"/>
        <v>17999.999778807163</v>
      </c>
      <c r="J734" s="26">
        <f t="shared" si="70"/>
        <v>6570200</v>
      </c>
      <c r="K734" s="2">
        <f t="shared" si="66"/>
        <v>5933800.0081094708</v>
      </c>
    </row>
    <row r="735" spans="5:11" x14ac:dyDescent="0.25">
      <c r="E735">
        <v>0.72899999999999998</v>
      </c>
      <c r="F735" s="2">
        <f t="shared" si="67"/>
        <v>36450.000021928201</v>
      </c>
      <c r="G735" s="2">
        <f t="shared" si="68"/>
        <v>13122000.007894153</v>
      </c>
      <c r="H735" s="26">
        <f t="shared" si="69"/>
        <v>12522000.007894153</v>
      </c>
      <c r="I735" s="26">
        <f t="shared" si="71"/>
        <v>17999.999784681946</v>
      </c>
      <c r="J735" s="26">
        <f t="shared" si="70"/>
        <v>6579225</v>
      </c>
      <c r="K735" s="2">
        <f t="shared" si="66"/>
        <v>5942775.0078941528</v>
      </c>
    </row>
    <row r="736" spans="5:11" x14ac:dyDescent="0.25">
      <c r="E736">
        <v>0.73</v>
      </c>
      <c r="F736" s="2">
        <f t="shared" si="67"/>
        <v>36500.000021345979</v>
      </c>
      <c r="G736" s="2">
        <f t="shared" si="68"/>
        <v>13140000.007684553</v>
      </c>
      <c r="H736" s="26">
        <f t="shared" si="69"/>
        <v>12540000.007684553</v>
      </c>
      <c r="I736" s="26">
        <f t="shared" si="71"/>
        <v>17999.999790400267</v>
      </c>
      <c r="J736" s="26">
        <f t="shared" si="70"/>
        <v>6588250</v>
      </c>
      <c r="K736" s="2">
        <f t="shared" si="66"/>
        <v>5951750.007684553</v>
      </c>
    </row>
    <row r="737" spans="5:11" x14ac:dyDescent="0.25">
      <c r="E737">
        <v>0.73099999999999998</v>
      </c>
      <c r="F737" s="2">
        <f t="shared" si="67"/>
        <v>36550.000020779233</v>
      </c>
      <c r="G737" s="2">
        <f t="shared" si="68"/>
        <v>13158000.007480524</v>
      </c>
      <c r="H737" s="26">
        <f t="shared" si="69"/>
        <v>12558000.007480524</v>
      </c>
      <c r="I737" s="26">
        <f t="shared" si="71"/>
        <v>17999.999795971438</v>
      </c>
      <c r="J737" s="26">
        <f t="shared" si="70"/>
        <v>6597275</v>
      </c>
      <c r="K737" s="2">
        <f t="shared" si="66"/>
        <v>5960725.0074805245</v>
      </c>
    </row>
    <row r="738" spans="5:11" x14ac:dyDescent="0.25">
      <c r="E738">
        <v>0.73199999999999998</v>
      </c>
      <c r="F738" s="2">
        <f t="shared" si="67"/>
        <v>36600.000020227533</v>
      </c>
      <c r="G738" s="2">
        <f t="shared" si="68"/>
        <v>13176000.007281912</v>
      </c>
      <c r="H738" s="26">
        <f t="shared" si="69"/>
        <v>12576000.007281912</v>
      </c>
      <c r="I738" s="26">
        <f t="shared" si="71"/>
        <v>17999.99980138801</v>
      </c>
      <c r="J738" s="26">
        <f t="shared" si="70"/>
        <v>6606300</v>
      </c>
      <c r="K738" s="2">
        <f t="shared" si="66"/>
        <v>5969700.0072819125</v>
      </c>
    </row>
    <row r="739" spans="5:11" x14ac:dyDescent="0.25">
      <c r="E739">
        <v>0.73299999999999998</v>
      </c>
      <c r="F739" s="2">
        <f t="shared" si="67"/>
        <v>36650.000019690488</v>
      </c>
      <c r="G739" s="2">
        <f t="shared" si="68"/>
        <v>13194000.007088576</v>
      </c>
      <c r="H739" s="26">
        <f t="shared" si="69"/>
        <v>12594000.007088576</v>
      </c>
      <c r="I739" s="26">
        <f t="shared" si="71"/>
        <v>17999.999806663021</v>
      </c>
      <c r="J739" s="26">
        <f t="shared" si="70"/>
        <v>6615325</v>
      </c>
      <c r="K739" s="2">
        <f t="shared" si="66"/>
        <v>5978675.0070885755</v>
      </c>
    </row>
    <row r="740" spans="5:11" x14ac:dyDescent="0.25">
      <c r="E740">
        <v>0.73399999999999999</v>
      </c>
      <c r="F740" s="2">
        <f t="shared" si="67"/>
        <v>36700.000019167717</v>
      </c>
      <c r="G740" s="2">
        <f t="shared" si="68"/>
        <v>13212000.006900378</v>
      </c>
      <c r="H740" s="26">
        <f t="shared" si="69"/>
        <v>12612000.006900378</v>
      </c>
      <c r="I740" s="26">
        <f t="shared" si="71"/>
        <v>17999.999811802059</v>
      </c>
      <c r="J740" s="26">
        <f t="shared" si="70"/>
        <v>6624350</v>
      </c>
      <c r="K740" s="2">
        <f t="shared" si="66"/>
        <v>5987650.0069003776</v>
      </c>
    </row>
    <row r="741" spans="5:11" x14ac:dyDescent="0.25">
      <c r="E741">
        <v>0.73499999999999999</v>
      </c>
      <c r="F741" s="2">
        <f t="shared" si="67"/>
        <v>36750.000018658815</v>
      </c>
      <c r="G741" s="2">
        <f t="shared" si="68"/>
        <v>13230000.006717173</v>
      </c>
      <c r="H741" s="26">
        <f t="shared" si="69"/>
        <v>12630000.006717173</v>
      </c>
      <c r="I741" s="26">
        <f t="shared" si="71"/>
        <v>17999.999816795811</v>
      </c>
      <c r="J741" s="26">
        <f t="shared" si="70"/>
        <v>6633375</v>
      </c>
      <c r="K741" s="2">
        <f t="shared" si="66"/>
        <v>5996625.0067171734</v>
      </c>
    </row>
    <row r="742" spans="5:11" x14ac:dyDescent="0.25">
      <c r="E742">
        <v>0.73599999999999999</v>
      </c>
      <c r="F742" s="2">
        <f t="shared" si="67"/>
        <v>36800.000018163453</v>
      </c>
      <c r="G742" s="2">
        <f t="shared" si="68"/>
        <v>13248000.006538844</v>
      </c>
      <c r="H742" s="26">
        <f t="shared" si="69"/>
        <v>12648000.006538844</v>
      </c>
      <c r="I742" s="26">
        <f t="shared" si="71"/>
        <v>17999.999821670353</v>
      </c>
      <c r="J742" s="26">
        <f t="shared" si="70"/>
        <v>6642400</v>
      </c>
      <c r="K742" s="2">
        <f t="shared" si="66"/>
        <v>6005600.0065388437</v>
      </c>
    </row>
    <row r="743" spans="5:11" x14ac:dyDescent="0.25">
      <c r="E743">
        <v>0.73699999999999999</v>
      </c>
      <c r="F743" s="2">
        <f t="shared" si="67"/>
        <v>36850.000017681232</v>
      </c>
      <c r="G743" s="2">
        <f t="shared" si="68"/>
        <v>13266000.006365243</v>
      </c>
      <c r="H743" s="26">
        <f t="shared" si="69"/>
        <v>12666000.006365243</v>
      </c>
      <c r="I743" s="26">
        <f t="shared" si="71"/>
        <v>17999.999826399609</v>
      </c>
      <c r="J743" s="26">
        <f t="shared" si="70"/>
        <v>6651425</v>
      </c>
      <c r="K743" s="2">
        <f t="shared" si="66"/>
        <v>6014575.0063652433</v>
      </c>
    </row>
    <row r="744" spans="5:11" x14ac:dyDescent="0.25">
      <c r="E744">
        <v>0.73799999999999999</v>
      </c>
      <c r="F744" s="2">
        <f t="shared" si="67"/>
        <v>36900.000017211823</v>
      </c>
      <c r="G744" s="2">
        <f t="shared" si="68"/>
        <v>13284000.006196257</v>
      </c>
      <c r="H744" s="26">
        <f t="shared" si="69"/>
        <v>12684000.006196257</v>
      </c>
      <c r="I744" s="26">
        <f t="shared" si="71"/>
        <v>17999.999831013381</v>
      </c>
      <c r="J744" s="26">
        <f t="shared" si="70"/>
        <v>6660450</v>
      </c>
      <c r="K744" s="2">
        <f t="shared" si="66"/>
        <v>6023550.0061962567</v>
      </c>
    </row>
    <row r="745" spans="5:11" x14ac:dyDescent="0.25">
      <c r="E745">
        <v>0.73899999999999999</v>
      </c>
      <c r="F745" s="2">
        <f t="shared" si="67"/>
        <v>36950.000016754886</v>
      </c>
      <c r="G745" s="2">
        <f t="shared" si="68"/>
        <v>13302000.006031759</v>
      </c>
      <c r="H745" s="26">
        <f t="shared" si="69"/>
        <v>12702000.006031759</v>
      </c>
      <c r="I745" s="26">
        <f t="shared" si="71"/>
        <v>17999.999835502356</v>
      </c>
      <c r="J745" s="26">
        <f t="shared" si="70"/>
        <v>6669475</v>
      </c>
      <c r="K745" s="2">
        <f t="shared" si="66"/>
        <v>6032525.0060317591</v>
      </c>
    </row>
    <row r="746" spans="5:11" x14ac:dyDescent="0.25">
      <c r="E746">
        <v>0.74</v>
      </c>
      <c r="F746" s="2">
        <f t="shared" si="67"/>
        <v>37000.000016310085</v>
      </c>
      <c r="G746" s="2">
        <f t="shared" si="68"/>
        <v>13320000.005871631</v>
      </c>
      <c r="H746" s="26">
        <f t="shared" si="69"/>
        <v>12720000.005871631</v>
      </c>
      <c r="I746" s="26">
        <f t="shared" si="71"/>
        <v>17999.999839872122</v>
      </c>
      <c r="J746" s="26">
        <f t="shared" si="70"/>
        <v>6678500</v>
      </c>
      <c r="K746" s="2">
        <f t="shared" si="66"/>
        <v>6041500.0058716312</v>
      </c>
    </row>
    <row r="747" spans="5:11" x14ac:dyDescent="0.25">
      <c r="E747">
        <v>0.74099999999999999</v>
      </c>
      <c r="F747" s="2">
        <f t="shared" si="67"/>
        <v>37050.000015877093</v>
      </c>
      <c r="G747" s="2">
        <f t="shared" si="68"/>
        <v>13338000.005715754</v>
      </c>
      <c r="H747" s="26">
        <f t="shared" si="69"/>
        <v>12738000.005715754</v>
      </c>
      <c r="I747" s="26">
        <f t="shared" si="71"/>
        <v>17999.999844122678</v>
      </c>
      <c r="J747" s="26">
        <f t="shared" si="70"/>
        <v>6687525</v>
      </c>
      <c r="K747" s="2">
        <f t="shared" si="66"/>
        <v>6050475.0057157539</v>
      </c>
    </row>
    <row r="748" spans="5:11" x14ac:dyDescent="0.25">
      <c r="E748">
        <v>0.74199999999999999</v>
      </c>
      <c r="F748" s="2">
        <f t="shared" si="67"/>
        <v>37100.000015455611</v>
      </c>
      <c r="G748" s="2">
        <f t="shared" si="68"/>
        <v>13356000.005564019</v>
      </c>
      <c r="H748" s="26">
        <f t="shared" si="69"/>
        <v>12756000.005564019</v>
      </c>
      <c r="I748" s="26">
        <f t="shared" si="71"/>
        <v>17999.999848265201</v>
      </c>
      <c r="J748" s="26">
        <f t="shared" si="70"/>
        <v>6696550</v>
      </c>
      <c r="K748" s="2">
        <f t="shared" si="66"/>
        <v>6059450.0055640191</v>
      </c>
    </row>
    <row r="749" spans="5:11" x14ac:dyDescent="0.25">
      <c r="E749">
        <v>0.74299999999999999</v>
      </c>
      <c r="F749" s="2">
        <f t="shared" si="67"/>
        <v>37150.000015045327</v>
      </c>
      <c r="G749" s="2">
        <f t="shared" si="68"/>
        <v>13374000.005416317</v>
      </c>
      <c r="H749" s="26">
        <f t="shared" si="69"/>
        <v>12774000.005416317</v>
      </c>
      <c r="I749" s="26">
        <f t="shared" si="71"/>
        <v>17999.999852297828</v>
      </c>
      <c r="J749" s="26">
        <f t="shared" si="70"/>
        <v>6705575</v>
      </c>
      <c r="K749" s="2">
        <f t="shared" si="66"/>
        <v>6068425.0054163169</v>
      </c>
    </row>
    <row r="750" spans="5:11" x14ac:dyDescent="0.25">
      <c r="E750">
        <v>0.74399999999999999</v>
      </c>
      <c r="F750" s="2">
        <f t="shared" si="67"/>
        <v>37200.000014645928</v>
      </c>
      <c r="G750" s="2">
        <f t="shared" si="68"/>
        <v>13392000.005272534</v>
      </c>
      <c r="H750" s="26">
        <f t="shared" si="69"/>
        <v>12792000.005272534</v>
      </c>
      <c r="I750" s="26">
        <f t="shared" si="71"/>
        <v>17999.999856216833</v>
      </c>
      <c r="J750" s="26">
        <f t="shared" si="70"/>
        <v>6714600</v>
      </c>
      <c r="K750" s="2">
        <f t="shared" si="66"/>
        <v>6077400.0052725337</v>
      </c>
    </row>
    <row r="751" spans="5:11" x14ac:dyDescent="0.25">
      <c r="E751">
        <v>0.745</v>
      </c>
      <c r="F751" s="2">
        <f t="shared" si="67"/>
        <v>37250.000014257144</v>
      </c>
      <c r="G751" s="2">
        <f t="shared" si="68"/>
        <v>13410000.005132573</v>
      </c>
      <c r="H751" s="26">
        <f t="shared" si="69"/>
        <v>12810000.005132573</v>
      </c>
      <c r="I751" s="26">
        <f t="shared" si="71"/>
        <v>17999.999860038981</v>
      </c>
      <c r="J751" s="26">
        <f t="shared" si="70"/>
        <v>6723625</v>
      </c>
      <c r="K751" s="2">
        <f t="shared" si="66"/>
        <v>6086375.0051325727</v>
      </c>
    </row>
    <row r="752" spans="5:11" x14ac:dyDescent="0.25">
      <c r="E752">
        <v>0.746</v>
      </c>
      <c r="F752" s="2">
        <f t="shared" si="67"/>
        <v>37300.000013878685</v>
      </c>
      <c r="G752" s="2">
        <f t="shared" si="68"/>
        <v>13428000.004996326</v>
      </c>
      <c r="H752" s="26">
        <f t="shared" si="69"/>
        <v>12828000.004996326</v>
      </c>
      <c r="I752" s="26">
        <f t="shared" si="71"/>
        <v>17999.999863753095</v>
      </c>
      <c r="J752" s="26">
        <f t="shared" si="70"/>
        <v>6732650</v>
      </c>
      <c r="K752" s="2">
        <f t="shared" si="66"/>
        <v>6095350.0049963258</v>
      </c>
    </row>
    <row r="753" spans="5:11" x14ac:dyDescent="0.25">
      <c r="E753">
        <v>0.747</v>
      </c>
      <c r="F753" s="2">
        <f t="shared" si="67"/>
        <v>37350.000013510282</v>
      </c>
      <c r="G753" s="2">
        <f t="shared" si="68"/>
        <v>13446000.004863702</v>
      </c>
      <c r="H753" s="26">
        <f t="shared" si="69"/>
        <v>12846000.004863702</v>
      </c>
      <c r="I753" s="26">
        <f t="shared" si="71"/>
        <v>17999.99986737594</v>
      </c>
      <c r="J753" s="26">
        <f t="shared" si="70"/>
        <v>6741675</v>
      </c>
      <c r="K753" s="2">
        <f t="shared" si="66"/>
        <v>6104325.0048637018</v>
      </c>
    </row>
    <row r="754" spans="5:11" x14ac:dyDescent="0.25">
      <c r="E754">
        <v>0.748</v>
      </c>
      <c r="F754" s="2">
        <f t="shared" si="67"/>
        <v>37400.000013151657</v>
      </c>
      <c r="G754" s="2">
        <f t="shared" si="68"/>
        <v>13464000.004734596</v>
      </c>
      <c r="H754" s="26">
        <f t="shared" si="69"/>
        <v>12864000.004734596</v>
      </c>
      <c r="I754" s="26">
        <f t="shared" si="71"/>
        <v>17999.999870894477</v>
      </c>
      <c r="J754" s="26">
        <f t="shared" si="70"/>
        <v>6750700</v>
      </c>
      <c r="K754" s="2">
        <f t="shared" si="66"/>
        <v>6113300.0047345962</v>
      </c>
    </row>
    <row r="755" spans="5:11" x14ac:dyDescent="0.25">
      <c r="E755">
        <v>0.749</v>
      </c>
      <c r="F755" s="2">
        <f t="shared" si="67"/>
        <v>37450.000012802564</v>
      </c>
      <c r="G755" s="2">
        <f t="shared" si="68"/>
        <v>13482000.004608924</v>
      </c>
      <c r="H755" s="26">
        <f t="shared" si="69"/>
        <v>12882000.004608924</v>
      </c>
      <c r="I755" s="26">
        <f t="shared" si="71"/>
        <v>17999.999874327332</v>
      </c>
      <c r="J755" s="26">
        <f t="shared" si="70"/>
        <v>6759725</v>
      </c>
      <c r="K755" s="2">
        <f t="shared" si="66"/>
        <v>6122275.0046089236</v>
      </c>
    </row>
    <row r="756" spans="5:11" x14ac:dyDescent="0.25">
      <c r="E756">
        <v>0.75</v>
      </c>
      <c r="F756" s="2">
        <f t="shared" si="67"/>
        <v>37500.000012462733</v>
      </c>
      <c r="G756" s="2">
        <f t="shared" si="68"/>
        <v>13500000.004486583</v>
      </c>
      <c r="H756" s="26">
        <f t="shared" si="69"/>
        <v>12900000.004486583</v>
      </c>
      <c r="I756" s="26">
        <f t="shared" si="71"/>
        <v>17999.999877659604</v>
      </c>
      <c r="J756" s="26">
        <f t="shared" si="70"/>
        <v>6768750</v>
      </c>
      <c r="K756" s="2">
        <f t="shared" si="66"/>
        <v>6131250.0044865832</v>
      </c>
    </row>
    <row r="757" spans="5:11" x14ac:dyDescent="0.25">
      <c r="E757">
        <v>0.751</v>
      </c>
      <c r="F757" s="2">
        <f t="shared" si="67"/>
        <v>37550.000012131939</v>
      </c>
      <c r="G757" s="2">
        <f t="shared" si="68"/>
        <v>13518000.004367499</v>
      </c>
      <c r="H757" s="26">
        <f t="shared" si="69"/>
        <v>12918000.004367499</v>
      </c>
      <c r="I757" s="26">
        <f t="shared" si="71"/>
        <v>17999.999880915508</v>
      </c>
      <c r="J757" s="26">
        <f t="shared" si="70"/>
        <v>6777775</v>
      </c>
      <c r="K757" s="2">
        <f t="shared" si="66"/>
        <v>6140225.0043674987</v>
      </c>
    </row>
    <row r="758" spans="5:11" x14ac:dyDescent="0.25">
      <c r="E758">
        <v>0.752</v>
      </c>
      <c r="F758" s="2">
        <f t="shared" si="67"/>
        <v>37600.000011809912</v>
      </c>
      <c r="G758" s="2">
        <f t="shared" si="68"/>
        <v>13536000.004251568</v>
      </c>
      <c r="H758" s="26">
        <f t="shared" si="69"/>
        <v>12936000.004251568</v>
      </c>
      <c r="I758" s="26">
        <f t="shared" si="71"/>
        <v>17999.999884068966</v>
      </c>
      <c r="J758" s="26">
        <f t="shared" si="70"/>
        <v>6786800</v>
      </c>
      <c r="K758" s="2">
        <f t="shared" si="66"/>
        <v>6149200.0042515676</v>
      </c>
    </row>
    <row r="759" spans="5:11" x14ac:dyDescent="0.25">
      <c r="E759">
        <v>0.753</v>
      </c>
      <c r="F759" s="2">
        <f t="shared" si="67"/>
        <v>37650.000011496457</v>
      </c>
      <c r="G759" s="2">
        <f t="shared" si="68"/>
        <v>13554000.004138725</v>
      </c>
      <c r="H759" s="26">
        <f t="shared" si="69"/>
        <v>12954000.004138725</v>
      </c>
      <c r="I759" s="26">
        <f t="shared" si="71"/>
        <v>17999.999887157232</v>
      </c>
      <c r="J759" s="26">
        <f t="shared" si="70"/>
        <v>6795825</v>
      </c>
      <c r="K759" s="2">
        <f t="shared" si="66"/>
        <v>6158175.0041387249</v>
      </c>
    </row>
    <row r="760" spans="5:11" x14ac:dyDescent="0.25">
      <c r="E760">
        <v>0.754</v>
      </c>
      <c r="F760" s="2">
        <f t="shared" si="67"/>
        <v>37700.000011191318</v>
      </c>
      <c r="G760" s="2">
        <f t="shared" si="68"/>
        <v>13572000.004028874</v>
      </c>
      <c r="H760" s="26">
        <f t="shared" si="69"/>
        <v>12972000.004028874</v>
      </c>
      <c r="I760" s="26">
        <f t="shared" si="71"/>
        <v>17999.99989014864</v>
      </c>
      <c r="J760" s="26">
        <f t="shared" si="70"/>
        <v>6804850</v>
      </c>
      <c r="K760" s="2">
        <f t="shared" si="66"/>
        <v>6167150.0040288735</v>
      </c>
    </row>
    <row r="761" spans="5:11" x14ac:dyDescent="0.25">
      <c r="E761">
        <v>0.755</v>
      </c>
      <c r="F761" s="2">
        <f t="shared" si="67"/>
        <v>37750.000010894284</v>
      </c>
      <c r="G761" s="2">
        <f t="shared" si="68"/>
        <v>13590000.003921943</v>
      </c>
      <c r="H761" s="26">
        <f t="shared" si="69"/>
        <v>12990000.003921943</v>
      </c>
      <c r="I761" s="26">
        <f t="shared" si="71"/>
        <v>17999.999893069267</v>
      </c>
      <c r="J761" s="26">
        <f t="shared" si="70"/>
        <v>6813875</v>
      </c>
      <c r="K761" s="2">
        <f t="shared" si="66"/>
        <v>6176125.0039219428</v>
      </c>
    </row>
    <row r="762" spans="5:11" x14ac:dyDescent="0.25">
      <c r="E762">
        <v>0.75600000000000001</v>
      </c>
      <c r="F762" s="2">
        <f t="shared" si="67"/>
        <v>37800.000010605145</v>
      </c>
      <c r="G762" s="2">
        <f t="shared" si="68"/>
        <v>13608000.003817853</v>
      </c>
      <c r="H762" s="26">
        <f t="shared" si="69"/>
        <v>13008000.003817853</v>
      </c>
      <c r="I762" s="26">
        <f t="shared" si="71"/>
        <v>17999.999895909801</v>
      </c>
      <c r="J762" s="26">
        <f t="shared" si="70"/>
        <v>6822900</v>
      </c>
      <c r="K762" s="2">
        <f t="shared" si="66"/>
        <v>6185100.0038178526</v>
      </c>
    </row>
    <row r="763" spans="5:11" x14ac:dyDescent="0.25">
      <c r="E763">
        <v>0.75700000000000001</v>
      </c>
      <c r="F763" s="2">
        <f t="shared" si="67"/>
        <v>37850.000010323682</v>
      </c>
      <c r="G763" s="2">
        <f t="shared" si="68"/>
        <v>13626000.003716525</v>
      </c>
      <c r="H763" s="26">
        <f t="shared" si="69"/>
        <v>13026000.003716525</v>
      </c>
      <c r="I763" s="26">
        <f t="shared" si="71"/>
        <v>17999.999898672104</v>
      </c>
      <c r="J763" s="26">
        <f t="shared" si="70"/>
        <v>6831925</v>
      </c>
      <c r="K763" s="2">
        <f t="shared" si="66"/>
        <v>6194075.0037165247</v>
      </c>
    </row>
    <row r="764" spans="5:11" x14ac:dyDescent="0.25">
      <c r="E764">
        <v>0.75800000000000001</v>
      </c>
      <c r="F764" s="2">
        <f t="shared" si="67"/>
        <v>37900.000010049684</v>
      </c>
      <c r="G764" s="2">
        <f t="shared" si="68"/>
        <v>13644000.003617886</v>
      </c>
      <c r="H764" s="26">
        <f t="shared" si="69"/>
        <v>13044000.003617886</v>
      </c>
      <c r="I764" s="26">
        <f t="shared" si="71"/>
        <v>17999.999901361763</v>
      </c>
      <c r="J764" s="26">
        <f t="shared" si="70"/>
        <v>6840950</v>
      </c>
      <c r="K764" s="2">
        <f t="shared" si="66"/>
        <v>6203050.0036178865</v>
      </c>
    </row>
    <row r="765" spans="5:11" x14ac:dyDescent="0.25">
      <c r="E765">
        <v>0.75900000000000001</v>
      </c>
      <c r="F765" s="2">
        <f t="shared" si="67"/>
        <v>37950.000009782969</v>
      </c>
      <c r="G765" s="2">
        <f t="shared" si="68"/>
        <v>13662000.003521869</v>
      </c>
      <c r="H765" s="26">
        <f t="shared" si="69"/>
        <v>13062000.003521869</v>
      </c>
      <c r="I765" s="26">
        <f t="shared" si="71"/>
        <v>17999.999903982505</v>
      </c>
      <c r="J765" s="26">
        <f t="shared" si="70"/>
        <v>6849975</v>
      </c>
      <c r="K765" s="2">
        <f t="shared" si="66"/>
        <v>6212025.003521869</v>
      </c>
    </row>
    <row r="766" spans="5:11" x14ac:dyDescent="0.25">
      <c r="E766">
        <v>0.76</v>
      </c>
      <c r="F766" s="2">
        <f t="shared" si="67"/>
        <v>38000.000009523348</v>
      </c>
      <c r="G766" s="2">
        <f t="shared" si="68"/>
        <v>13680000.003428405</v>
      </c>
      <c r="H766" s="26">
        <f t="shared" si="69"/>
        <v>13080000.003428405</v>
      </c>
      <c r="I766" s="26">
        <f t="shared" si="71"/>
        <v>17999.999906536192</v>
      </c>
      <c r="J766" s="26">
        <f t="shared" si="70"/>
        <v>6859000</v>
      </c>
      <c r="K766" s="2">
        <f t="shared" si="66"/>
        <v>6221000.0034284052</v>
      </c>
    </row>
    <row r="767" spans="5:11" x14ac:dyDescent="0.25">
      <c r="E767">
        <v>0.76100000000000001</v>
      </c>
      <c r="F767" s="2">
        <f t="shared" si="67"/>
        <v>38050.000009270603</v>
      </c>
      <c r="G767" s="2">
        <f t="shared" si="68"/>
        <v>13698000.003337417</v>
      </c>
      <c r="H767" s="26">
        <f t="shared" si="69"/>
        <v>13098000.003337417</v>
      </c>
      <c r="I767" s="26">
        <f t="shared" si="71"/>
        <v>17999.999909011647</v>
      </c>
      <c r="J767" s="26">
        <f t="shared" si="70"/>
        <v>6868025</v>
      </c>
      <c r="K767" s="2">
        <f t="shared" si="66"/>
        <v>6229975.0033374168</v>
      </c>
    </row>
    <row r="768" spans="5:11" x14ac:dyDescent="0.25">
      <c r="E768">
        <v>0.76200000000000001</v>
      </c>
      <c r="F768" s="2">
        <f t="shared" si="67"/>
        <v>38100.000009024581</v>
      </c>
      <c r="G768" s="2">
        <f t="shared" si="68"/>
        <v>13716000.00324885</v>
      </c>
      <c r="H768" s="26">
        <f t="shared" si="69"/>
        <v>13116000.00324885</v>
      </c>
      <c r="I768" s="26">
        <f t="shared" si="71"/>
        <v>17999.999911433086</v>
      </c>
      <c r="J768" s="26">
        <f t="shared" si="70"/>
        <v>6877050</v>
      </c>
      <c r="K768" s="2">
        <f t="shared" si="66"/>
        <v>6238950.0032488499</v>
      </c>
    </row>
    <row r="769" spans="5:11" x14ac:dyDescent="0.25">
      <c r="E769">
        <v>0.76300000000000001</v>
      </c>
      <c r="F769" s="2">
        <f t="shared" si="67"/>
        <v>38150.000008785093</v>
      </c>
      <c r="G769" s="2">
        <f t="shared" si="68"/>
        <v>13734000.003162634</v>
      </c>
      <c r="H769" s="26">
        <f t="shared" si="69"/>
        <v>13134000.003162634</v>
      </c>
      <c r="I769" s="26">
        <f t="shared" si="71"/>
        <v>17999.999913783744</v>
      </c>
      <c r="J769" s="26">
        <f t="shared" si="70"/>
        <v>6886075</v>
      </c>
      <c r="K769" s="2">
        <f t="shared" si="66"/>
        <v>6247925.0031626336</v>
      </c>
    </row>
    <row r="770" spans="5:11" x14ac:dyDescent="0.25">
      <c r="E770">
        <v>0.76400000000000001</v>
      </c>
      <c r="F770" s="2">
        <f t="shared" si="67"/>
        <v>38200.000008551957</v>
      </c>
      <c r="G770" s="2">
        <f t="shared" si="68"/>
        <v>13752000.003078705</v>
      </c>
      <c r="H770" s="26">
        <f t="shared" si="69"/>
        <v>13152000.003078705</v>
      </c>
      <c r="I770" s="26">
        <f t="shared" si="71"/>
        <v>17999.999916071072</v>
      </c>
      <c r="J770" s="26">
        <f t="shared" si="70"/>
        <v>6895100</v>
      </c>
      <c r="K770" s="2">
        <f t="shared" si="66"/>
        <v>6256900.0030787047</v>
      </c>
    </row>
    <row r="771" spans="5:11" x14ac:dyDescent="0.25">
      <c r="E771">
        <v>0.76500000000000001</v>
      </c>
      <c r="F771" s="2">
        <f t="shared" si="67"/>
        <v>38250.000008325012</v>
      </c>
      <c r="G771" s="2">
        <f t="shared" si="68"/>
        <v>13770000.002997005</v>
      </c>
      <c r="H771" s="26">
        <f t="shared" si="69"/>
        <v>13170000.002997005</v>
      </c>
      <c r="I771" s="26">
        <f t="shared" si="71"/>
        <v>17999.999918300658</v>
      </c>
      <c r="J771" s="26">
        <f t="shared" si="70"/>
        <v>6904125</v>
      </c>
      <c r="K771" s="2">
        <f t="shared" si="66"/>
        <v>6265875.0029970054</v>
      </c>
    </row>
    <row r="772" spans="5:11" x14ac:dyDescent="0.25">
      <c r="E772">
        <v>0.76600000000000001</v>
      </c>
      <c r="F772" s="2">
        <f t="shared" si="67"/>
        <v>38300.000008104107</v>
      </c>
      <c r="G772" s="2">
        <f t="shared" si="68"/>
        <v>13788000.002917478</v>
      </c>
      <c r="H772" s="26">
        <f t="shared" si="69"/>
        <v>13188000.002917478</v>
      </c>
      <c r="I772" s="26">
        <f t="shared" si="71"/>
        <v>17999.999920472503</v>
      </c>
      <c r="J772" s="26">
        <f t="shared" si="70"/>
        <v>6913150</v>
      </c>
      <c r="K772" s="2">
        <f t="shared" si="66"/>
        <v>6274850.0029174779</v>
      </c>
    </row>
    <row r="773" spans="5:11" x14ac:dyDescent="0.25">
      <c r="E773">
        <v>0.76700000000000002</v>
      </c>
      <c r="F773" s="2">
        <f t="shared" si="67"/>
        <v>38350.000007889059</v>
      </c>
      <c r="G773" s="2">
        <f t="shared" si="68"/>
        <v>13806000.002840061</v>
      </c>
      <c r="H773" s="26">
        <f t="shared" si="69"/>
        <v>13206000.002840061</v>
      </c>
      <c r="I773" s="26">
        <f t="shared" si="71"/>
        <v>17999.99992258288</v>
      </c>
      <c r="J773" s="26">
        <f t="shared" si="70"/>
        <v>6922175</v>
      </c>
      <c r="K773" s="2">
        <f t="shared" si="66"/>
        <v>6283825.0028400607</v>
      </c>
    </row>
    <row r="774" spans="5:11" x14ac:dyDescent="0.25">
      <c r="E774">
        <v>0.76800000000000002</v>
      </c>
      <c r="F774" s="2">
        <f t="shared" si="67"/>
        <v>38400.000007679715</v>
      </c>
      <c r="G774" s="2">
        <f t="shared" si="68"/>
        <v>13824000.002764698</v>
      </c>
      <c r="H774" s="26">
        <f t="shared" si="69"/>
        <v>13224000.002764698</v>
      </c>
      <c r="I774" s="26">
        <f t="shared" si="71"/>
        <v>17999.999924637377</v>
      </c>
      <c r="J774" s="26">
        <f t="shared" si="70"/>
        <v>6931200</v>
      </c>
      <c r="K774" s="2">
        <f t="shared" ref="K774:K837" si="72">H774-J774</f>
        <v>6292800.0027646981</v>
      </c>
    </row>
    <row r="775" spans="5:11" x14ac:dyDescent="0.25">
      <c r="E775">
        <v>0.76900000000000002</v>
      </c>
      <c r="F775" s="2">
        <f t="shared" ref="F775:F838" si="73">PMT(E775/12,$C$7,-$C$6,0,0)</f>
        <v>38450.000007475937</v>
      </c>
      <c r="G775" s="2">
        <f t="shared" ref="G775:G838" si="74">360*F775</f>
        <v>13842000.002691338</v>
      </c>
      <c r="H775" s="26">
        <f t="shared" ref="H775:H838" si="75">360*F775-$C$6</f>
        <v>13242000.002691338</v>
      </c>
      <c r="I775" s="26">
        <f t="shared" si="71"/>
        <v>17999.999926639721</v>
      </c>
      <c r="J775" s="26">
        <f t="shared" ref="J775:J838" si="76">$C$6*E775/12*($C$7+1)/2</f>
        <v>6940225</v>
      </c>
      <c r="K775" s="2">
        <f t="shared" si="72"/>
        <v>6301775.0026913378</v>
      </c>
    </row>
    <row r="776" spans="5:11" x14ac:dyDescent="0.25">
      <c r="E776">
        <v>0.77</v>
      </c>
      <c r="F776" s="2">
        <f t="shared" si="73"/>
        <v>38500.000007277573</v>
      </c>
      <c r="G776" s="2">
        <f t="shared" si="74"/>
        <v>13860000.002619926</v>
      </c>
      <c r="H776" s="26">
        <f t="shared" si="75"/>
        <v>13260000.002619926</v>
      </c>
      <c r="I776" s="26">
        <f t="shared" si="71"/>
        <v>17999.999928588048</v>
      </c>
      <c r="J776" s="26">
        <f t="shared" si="76"/>
        <v>6949250</v>
      </c>
      <c r="K776" s="2">
        <f t="shared" si="72"/>
        <v>6310750.0026199259</v>
      </c>
    </row>
    <row r="777" spans="5:11" x14ac:dyDescent="0.25">
      <c r="E777">
        <v>0.77100000000000002</v>
      </c>
      <c r="F777" s="2">
        <f t="shared" si="73"/>
        <v>38550.000007084469</v>
      </c>
      <c r="G777" s="2">
        <f t="shared" si="74"/>
        <v>13878000.002550408</v>
      </c>
      <c r="H777" s="26">
        <f t="shared" si="75"/>
        <v>13278000.002550408</v>
      </c>
      <c r="I777" s="26">
        <f t="shared" ref="I777:I840" si="77">H777-H776</f>
        <v>17999.999930482358</v>
      </c>
      <c r="J777" s="26">
        <f t="shared" si="76"/>
        <v>6958275</v>
      </c>
      <c r="K777" s="2">
        <f t="shared" si="72"/>
        <v>6319725.0025504082</v>
      </c>
    </row>
    <row r="778" spans="5:11" x14ac:dyDescent="0.25">
      <c r="E778">
        <v>0.77200000000000002</v>
      </c>
      <c r="F778" s="2">
        <f t="shared" si="73"/>
        <v>38600.000006896502</v>
      </c>
      <c r="G778" s="2">
        <f t="shared" si="74"/>
        <v>13896000.00248274</v>
      </c>
      <c r="H778" s="26">
        <f t="shared" si="75"/>
        <v>13296000.00248274</v>
      </c>
      <c r="I778" s="26">
        <f t="shared" si="77"/>
        <v>17999.999932331964</v>
      </c>
      <c r="J778" s="26">
        <f t="shared" si="76"/>
        <v>6967300</v>
      </c>
      <c r="K778" s="2">
        <f t="shared" si="72"/>
        <v>6328700.0024827402</v>
      </c>
    </row>
    <row r="779" spans="5:11" x14ac:dyDescent="0.25">
      <c r="E779">
        <v>0.77300000000000002</v>
      </c>
      <c r="F779" s="2">
        <f t="shared" si="73"/>
        <v>38650.000006713512</v>
      </c>
      <c r="G779" s="2">
        <f t="shared" si="74"/>
        <v>13914000.002416864</v>
      </c>
      <c r="H779" s="26">
        <f t="shared" si="75"/>
        <v>13314000.002416864</v>
      </c>
      <c r="I779" s="26">
        <f t="shared" si="77"/>
        <v>17999.999934123829</v>
      </c>
      <c r="J779" s="26">
        <f t="shared" si="76"/>
        <v>6976325</v>
      </c>
      <c r="K779" s="2">
        <f t="shared" si="72"/>
        <v>6337675.002416864</v>
      </c>
    </row>
    <row r="780" spans="5:11" x14ac:dyDescent="0.25">
      <c r="E780">
        <v>0.77400000000000002</v>
      </c>
      <c r="F780" s="2">
        <f t="shared" si="73"/>
        <v>38700.000006535389</v>
      </c>
      <c r="G780" s="2">
        <f t="shared" si="74"/>
        <v>13932000.002352741</v>
      </c>
      <c r="H780" s="26">
        <f t="shared" si="75"/>
        <v>13332000.002352741</v>
      </c>
      <c r="I780" s="26">
        <f t="shared" si="77"/>
        <v>17999.999935876578</v>
      </c>
      <c r="J780" s="26">
        <f t="shared" si="76"/>
        <v>6985350</v>
      </c>
      <c r="K780" s="2">
        <f t="shared" si="72"/>
        <v>6346650.0023527406</v>
      </c>
    </row>
    <row r="781" spans="5:11" x14ac:dyDescent="0.25">
      <c r="E781">
        <v>0.77500000000000002</v>
      </c>
      <c r="F781" s="2">
        <f t="shared" si="73"/>
        <v>38750.000006362003</v>
      </c>
      <c r="G781" s="2">
        <f t="shared" si="74"/>
        <v>13950000.002290322</v>
      </c>
      <c r="H781" s="26">
        <f t="shared" si="75"/>
        <v>13350000.002290322</v>
      </c>
      <c r="I781" s="26">
        <f t="shared" si="77"/>
        <v>17999.999937580898</v>
      </c>
      <c r="J781" s="26">
        <f t="shared" si="76"/>
        <v>6994375</v>
      </c>
      <c r="K781" s="2">
        <f t="shared" si="72"/>
        <v>6355625.0022903215</v>
      </c>
    </row>
    <row r="782" spans="5:11" x14ac:dyDescent="0.25">
      <c r="E782">
        <v>0.77600000000000002</v>
      </c>
      <c r="F782" s="2">
        <f t="shared" si="73"/>
        <v>38800.000006193201</v>
      </c>
      <c r="G782" s="2">
        <f t="shared" si="74"/>
        <v>13968000.002229553</v>
      </c>
      <c r="H782" s="26">
        <f t="shared" si="75"/>
        <v>13368000.002229553</v>
      </c>
      <c r="I782" s="26">
        <f t="shared" si="77"/>
        <v>17999.999939231202</v>
      </c>
      <c r="J782" s="26">
        <f t="shared" si="76"/>
        <v>7003400</v>
      </c>
      <c r="K782" s="2">
        <f t="shared" si="72"/>
        <v>6364600.0022295527</v>
      </c>
    </row>
    <row r="783" spans="5:11" x14ac:dyDescent="0.25">
      <c r="E783">
        <v>0.77700000000000002</v>
      </c>
      <c r="F783" s="2">
        <f t="shared" si="73"/>
        <v>38850.000006028895</v>
      </c>
      <c r="G783" s="2">
        <f t="shared" si="74"/>
        <v>13986000.002170403</v>
      </c>
      <c r="H783" s="26">
        <f t="shared" si="75"/>
        <v>13386000.002170403</v>
      </c>
      <c r="I783" s="26">
        <f t="shared" si="77"/>
        <v>17999.999940849841</v>
      </c>
      <c r="J783" s="26">
        <f t="shared" si="76"/>
        <v>7012425</v>
      </c>
      <c r="K783" s="2">
        <f t="shared" si="72"/>
        <v>6373575.0021704026</v>
      </c>
    </row>
    <row r="784" spans="5:11" x14ac:dyDescent="0.25">
      <c r="E784">
        <v>0.77800000000000002</v>
      </c>
      <c r="F784" s="2">
        <f t="shared" si="73"/>
        <v>38900.000005868955</v>
      </c>
      <c r="G784" s="2">
        <f t="shared" si="74"/>
        <v>14004000.002112824</v>
      </c>
      <c r="H784" s="26">
        <f t="shared" si="75"/>
        <v>13404000.002112824</v>
      </c>
      <c r="I784" s="26">
        <f t="shared" si="77"/>
        <v>17999.999942421913</v>
      </c>
      <c r="J784" s="26">
        <f t="shared" si="76"/>
        <v>7021450</v>
      </c>
      <c r="K784" s="2">
        <f t="shared" si="72"/>
        <v>6382550.0021128245</v>
      </c>
    </row>
    <row r="785" spans="5:11" x14ac:dyDescent="0.25">
      <c r="E785">
        <v>0.77900000000000003</v>
      </c>
      <c r="F785" s="2">
        <f t="shared" si="73"/>
        <v>38950.000005713235</v>
      </c>
      <c r="G785" s="2">
        <f t="shared" si="74"/>
        <v>14022000.002056764</v>
      </c>
      <c r="H785" s="26">
        <f t="shared" si="75"/>
        <v>13422000.002056764</v>
      </c>
      <c r="I785" s="26">
        <f t="shared" si="77"/>
        <v>17999.999943939969</v>
      </c>
      <c r="J785" s="26">
        <f t="shared" si="76"/>
        <v>7030475</v>
      </c>
      <c r="K785" s="2">
        <f t="shared" si="72"/>
        <v>6391525.0020567644</v>
      </c>
    </row>
    <row r="786" spans="5:11" x14ac:dyDescent="0.25">
      <c r="E786">
        <v>0.78</v>
      </c>
      <c r="F786" s="2">
        <f t="shared" si="73"/>
        <v>39000.000005561684</v>
      </c>
      <c r="G786" s="2">
        <f t="shared" si="74"/>
        <v>14040000.002002206</v>
      </c>
      <c r="H786" s="26">
        <f t="shared" si="75"/>
        <v>13440000.002002206</v>
      </c>
      <c r="I786" s="26">
        <f t="shared" si="77"/>
        <v>17999.999945441261</v>
      </c>
      <c r="J786" s="26">
        <f t="shared" si="76"/>
        <v>7039500</v>
      </c>
      <c r="K786" s="2">
        <f t="shared" si="72"/>
        <v>6400500.0020022057</v>
      </c>
    </row>
    <row r="787" spans="5:11" x14ac:dyDescent="0.25">
      <c r="E787">
        <v>0.78100000000000003</v>
      </c>
      <c r="F787" s="2">
        <f t="shared" si="73"/>
        <v>39050.000005414135</v>
      </c>
      <c r="G787" s="2">
        <f t="shared" si="74"/>
        <v>14058000.001949089</v>
      </c>
      <c r="H787" s="26">
        <f t="shared" si="75"/>
        <v>13458000.001949089</v>
      </c>
      <c r="I787" s="26">
        <f t="shared" si="77"/>
        <v>17999.999946882948</v>
      </c>
      <c r="J787" s="26">
        <f t="shared" si="76"/>
        <v>7048525</v>
      </c>
      <c r="K787" s="2">
        <f t="shared" si="72"/>
        <v>6409475.0019490886</v>
      </c>
    </row>
    <row r="788" spans="5:11" x14ac:dyDescent="0.25">
      <c r="E788">
        <v>0.78200000000000003</v>
      </c>
      <c r="F788" s="2">
        <f t="shared" si="73"/>
        <v>39100.000005270507</v>
      </c>
      <c r="G788" s="2">
        <f t="shared" si="74"/>
        <v>14076000.001897383</v>
      </c>
      <c r="H788" s="26">
        <f t="shared" si="75"/>
        <v>13476000.001897383</v>
      </c>
      <c r="I788" s="26">
        <f t="shared" si="77"/>
        <v>17999.999948294833</v>
      </c>
      <c r="J788" s="26">
        <f t="shared" si="76"/>
        <v>7057550</v>
      </c>
      <c r="K788" s="2">
        <f t="shared" si="72"/>
        <v>6418450.0018973835</v>
      </c>
    </row>
    <row r="789" spans="5:11" x14ac:dyDescent="0.25">
      <c r="E789">
        <v>0.78300000000000003</v>
      </c>
      <c r="F789" s="2">
        <f t="shared" si="73"/>
        <v>39150.000005130692</v>
      </c>
      <c r="G789" s="2">
        <f t="shared" si="74"/>
        <v>14094000.001847049</v>
      </c>
      <c r="H789" s="26">
        <f t="shared" si="75"/>
        <v>13494000.001847049</v>
      </c>
      <c r="I789" s="26">
        <f t="shared" si="77"/>
        <v>17999.99994966574</v>
      </c>
      <c r="J789" s="26">
        <f t="shared" si="76"/>
        <v>7066575</v>
      </c>
      <c r="K789" s="2">
        <f t="shared" si="72"/>
        <v>6427425.0018470492</v>
      </c>
    </row>
    <row r="790" spans="5:11" x14ac:dyDescent="0.25">
      <c r="E790">
        <v>0.78400000000000003</v>
      </c>
      <c r="F790" s="2">
        <f t="shared" si="73"/>
        <v>39200.000004994603</v>
      </c>
      <c r="G790" s="2">
        <f t="shared" si="74"/>
        <v>14112000.001798058</v>
      </c>
      <c r="H790" s="26">
        <f t="shared" si="75"/>
        <v>13512000.001798058</v>
      </c>
      <c r="I790" s="26">
        <f t="shared" si="77"/>
        <v>17999.999951008707</v>
      </c>
      <c r="J790" s="26">
        <f t="shared" si="76"/>
        <v>7075600</v>
      </c>
      <c r="K790" s="2">
        <f t="shared" si="72"/>
        <v>6436400.0017980579</v>
      </c>
    </row>
    <row r="791" spans="5:11" x14ac:dyDescent="0.25">
      <c r="E791">
        <v>0.78500000000000003</v>
      </c>
      <c r="F791" s="2">
        <f t="shared" si="73"/>
        <v>39250.000004862108</v>
      </c>
      <c r="G791" s="2">
        <f t="shared" si="74"/>
        <v>14130000.001750359</v>
      </c>
      <c r="H791" s="26">
        <f t="shared" si="75"/>
        <v>13530000.001750359</v>
      </c>
      <c r="I791" s="26">
        <f t="shared" si="77"/>
        <v>17999.999952301383</v>
      </c>
      <c r="J791" s="26">
        <f t="shared" si="76"/>
        <v>7084625</v>
      </c>
      <c r="K791" s="2">
        <f t="shared" si="72"/>
        <v>6445375.0017503593</v>
      </c>
    </row>
    <row r="792" spans="5:11" x14ac:dyDescent="0.25">
      <c r="E792">
        <v>0.78600000000000003</v>
      </c>
      <c r="F792" s="2">
        <f t="shared" si="73"/>
        <v>39300.000004733141</v>
      </c>
      <c r="G792" s="2">
        <f t="shared" si="74"/>
        <v>14148000.001703931</v>
      </c>
      <c r="H792" s="26">
        <f t="shared" si="75"/>
        <v>13548000.001703931</v>
      </c>
      <c r="I792" s="26">
        <f t="shared" si="77"/>
        <v>17999.999953571707</v>
      </c>
      <c r="J792" s="26">
        <f t="shared" si="76"/>
        <v>7093650</v>
      </c>
      <c r="K792" s="2">
        <f t="shared" si="72"/>
        <v>6454350.001703931</v>
      </c>
    </row>
    <row r="793" spans="5:11" x14ac:dyDescent="0.25">
      <c r="E793">
        <v>0.78700000000000003</v>
      </c>
      <c r="F793" s="2">
        <f t="shared" si="73"/>
        <v>39350.000004607595</v>
      </c>
      <c r="G793" s="2">
        <f t="shared" si="74"/>
        <v>14166000.001658734</v>
      </c>
      <c r="H793" s="26">
        <f t="shared" si="75"/>
        <v>13566000.001658734</v>
      </c>
      <c r="I793" s="26">
        <f t="shared" si="77"/>
        <v>17999.999954802915</v>
      </c>
      <c r="J793" s="26">
        <f t="shared" si="76"/>
        <v>7102675</v>
      </c>
      <c r="K793" s="2">
        <f t="shared" si="72"/>
        <v>6463325.0016587339</v>
      </c>
    </row>
    <row r="794" spans="5:11" x14ac:dyDescent="0.25">
      <c r="E794">
        <v>0.78800000000000003</v>
      </c>
      <c r="F794" s="2">
        <f t="shared" si="73"/>
        <v>39400.000004485373</v>
      </c>
      <c r="G794" s="2">
        <f t="shared" si="74"/>
        <v>14184000.001614735</v>
      </c>
      <c r="H794" s="26">
        <f t="shared" si="75"/>
        <v>13584000.001614735</v>
      </c>
      <c r="I794" s="26">
        <f t="shared" si="77"/>
        <v>17999.999956000596</v>
      </c>
      <c r="J794" s="26">
        <f t="shared" si="76"/>
        <v>7111700</v>
      </c>
      <c r="K794" s="2">
        <f t="shared" si="72"/>
        <v>6472300.0016147345</v>
      </c>
    </row>
    <row r="795" spans="5:11" x14ac:dyDescent="0.25">
      <c r="E795">
        <v>0.78900000000000003</v>
      </c>
      <c r="F795" s="2">
        <f t="shared" si="73"/>
        <v>39450.000004366411</v>
      </c>
      <c r="G795" s="2">
        <f t="shared" si="74"/>
        <v>14202000.001571909</v>
      </c>
      <c r="H795" s="26">
        <f t="shared" si="75"/>
        <v>13602000.001571909</v>
      </c>
      <c r="I795" s="26">
        <f t="shared" si="77"/>
        <v>17999.999957174063</v>
      </c>
      <c r="J795" s="26">
        <f t="shared" si="76"/>
        <v>7120725</v>
      </c>
      <c r="K795" s="2">
        <f t="shared" si="72"/>
        <v>6481275.0015719086</v>
      </c>
    </row>
    <row r="796" spans="5:11" x14ac:dyDescent="0.25">
      <c r="E796">
        <v>0.79</v>
      </c>
      <c r="F796" s="2">
        <f t="shared" si="73"/>
        <v>39500.0000042506</v>
      </c>
      <c r="G796" s="2">
        <f t="shared" si="74"/>
        <v>14220000.001530215</v>
      </c>
      <c r="H796" s="26">
        <f t="shared" si="75"/>
        <v>13620000.001530215</v>
      </c>
      <c r="I796" s="26">
        <f t="shared" si="77"/>
        <v>17999.999958306551</v>
      </c>
      <c r="J796" s="26">
        <f t="shared" si="76"/>
        <v>7129750</v>
      </c>
      <c r="K796" s="2">
        <f t="shared" si="72"/>
        <v>6490250.0015302151</v>
      </c>
    </row>
    <row r="797" spans="5:11" x14ac:dyDescent="0.25">
      <c r="E797">
        <v>0.79100000000000004</v>
      </c>
      <c r="F797" s="2">
        <f t="shared" si="73"/>
        <v>39550.000004137859</v>
      </c>
      <c r="G797" s="2">
        <f t="shared" si="74"/>
        <v>14238000.00148963</v>
      </c>
      <c r="H797" s="26">
        <f t="shared" si="75"/>
        <v>13638000.00148963</v>
      </c>
      <c r="I797" s="26">
        <f t="shared" si="77"/>
        <v>17999.999959414825</v>
      </c>
      <c r="J797" s="26">
        <f t="shared" si="76"/>
        <v>7138775</v>
      </c>
      <c r="K797" s="2">
        <f t="shared" si="72"/>
        <v>6499225.00148963</v>
      </c>
    </row>
    <row r="798" spans="5:11" x14ac:dyDescent="0.25">
      <c r="E798">
        <v>0.79200000000000004</v>
      </c>
      <c r="F798" s="2">
        <f t="shared" si="73"/>
        <v>39600.000004028116</v>
      </c>
      <c r="G798" s="2">
        <f t="shared" si="74"/>
        <v>14256000.001450121</v>
      </c>
      <c r="H798" s="26">
        <f t="shared" si="75"/>
        <v>13656000.001450121</v>
      </c>
      <c r="I798" s="26">
        <f t="shared" si="77"/>
        <v>17999.999960491434</v>
      </c>
      <c r="J798" s="26">
        <f t="shared" si="76"/>
        <v>7147800</v>
      </c>
      <c r="K798" s="2">
        <f t="shared" si="72"/>
        <v>6508200.0014501214</v>
      </c>
    </row>
    <row r="799" spans="5:11" x14ac:dyDescent="0.25">
      <c r="E799">
        <v>0.79300000000000004</v>
      </c>
      <c r="F799" s="2">
        <f t="shared" si="73"/>
        <v>39650.000003921283</v>
      </c>
      <c r="G799" s="2">
        <f t="shared" si="74"/>
        <v>14274000.001411662</v>
      </c>
      <c r="H799" s="26">
        <f t="shared" si="75"/>
        <v>13674000.001411662</v>
      </c>
      <c r="I799" s="26">
        <f t="shared" si="77"/>
        <v>17999.999961540103</v>
      </c>
      <c r="J799" s="26">
        <f t="shared" si="76"/>
        <v>7156825</v>
      </c>
      <c r="K799" s="2">
        <f t="shared" si="72"/>
        <v>6517175.0014116615</v>
      </c>
    </row>
    <row r="800" spans="5:11" x14ac:dyDescent="0.25">
      <c r="E800">
        <v>0.79400000000000004</v>
      </c>
      <c r="F800" s="2">
        <f t="shared" si="73"/>
        <v>39700.00000381728</v>
      </c>
      <c r="G800" s="2">
        <f t="shared" si="74"/>
        <v>14292000.00137422</v>
      </c>
      <c r="H800" s="26">
        <f t="shared" si="75"/>
        <v>13692000.00137422</v>
      </c>
      <c r="I800" s="26">
        <f t="shared" si="77"/>
        <v>17999.99996255897</v>
      </c>
      <c r="J800" s="26">
        <f t="shared" si="76"/>
        <v>7165850</v>
      </c>
      <c r="K800" s="2">
        <f t="shared" si="72"/>
        <v>6526150.0013742205</v>
      </c>
    </row>
    <row r="801" spans="5:11" x14ac:dyDescent="0.25">
      <c r="E801">
        <v>0.79500000000000004</v>
      </c>
      <c r="F801" s="2">
        <f t="shared" si="73"/>
        <v>39750.000003716043</v>
      </c>
      <c r="G801" s="2">
        <f t="shared" si="74"/>
        <v>14310000.001337776</v>
      </c>
      <c r="H801" s="26">
        <f t="shared" si="75"/>
        <v>13710000.001337776</v>
      </c>
      <c r="I801" s="26">
        <f t="shared" si="77"/>
        <v>17999.999963555485</v>
      </c>
      <c r="J801" s="26">
        <f t="shared" si="76"/>
        <v>7174875</v>
      </c>
      <c r="K801" s="2">
        <f t="shared" si="72"/>
        <v>6535125.001337776</v>
      </c>
    </row>
    <row r="802" spans="5:11" x14ac:dyDescent="0.25">
      <c r="E802">
        <v>0.79600000000000004</v>
      </c>
      <c r="F802" s="2">
        <f t="shared" si="73"/>
        <v>39800.000003617512</v>
      </c>
      <c r="G802" s="2">
        <f t="shared" si="74"/>
        <v>14328000.001302304</v>
      </c>
      <c r="H802" s="26">
        <f t="shared" si="75"/>
        <v>13728000.001302304</v>
      </c>
      <c r="I802" s="26">
        <f t="shared" si="77"/>
        <v>17999.999964527786</v>
      </c>
      <c r="J802" s="26">
        <f t="shared" si="76"/>
        <v>7183900</v>
      </c>
      <c r="K802" s="2">
        <f t="shared" si="72"/>
        <v>6544100.0013023037</v>
      </c>
    </row>
    <row r="803" spans="5:11" x14ac:dyDescent="0.25">
      <c r="E803">
        <v>0.79700000000000004</v>
      </c>
      <c r="F803" s="2">
        <f t="shared" si="73"/>
        <v>39850.000003521563</v>
      </c>
      <c r="G803" s="2">
        <f t="shared" si="74"/>
        <v>14346000.001267763</v>
      </c>
      <c r="H803" s="26">
        <f t="shared" si="75"/>
        <v>13746000.001267763</v>
      </c>
      <c r="I803" s="26">
        <f t="shared" si="77"/>
        <v>17999.999965459108</v>
      </c>
      <c r="J803" s="26">
        <f t="shared" si="76"/>
        <v>7192925</v>
      </c>
      <c r="K803" s="2">
        <f t="shared" si="72"/>
        <v>6553075.0012677629</v>
      </c>
    </row>
    <row r="804" spans="5:11" x14ac:dyDescent="0.25">
      <c r="E804">
        <v>0.79800000000000004</v>
      </c>
      <c r="F804" s="2">
        <f t="shared" si="73"/>
        <v>39900.000003428184</v>
      </c>
      <c r="G804" s="2">
        <f t="shared" si="74"/>
        <v>14364000.001234146</v>
      </c>
      <c r="H804" s="26">
        <f t="shared" si="75"/>
        <v>13764000.001234146</v>
      </c>
      <c r="I804" s="26">
        <f t="shared" si="77"/>
        <v>17999.99996638298</v>
      </c>
      <c r="J804" s="26">
        <f t="shared" si="76"/>
        <v>7201950</v>
      </c>
      <c r="K804" s="2">
        <f t="shared" si="72"/>
        <v>6562050.0012341458</v>
      </c>
    </row>
    <row r="805" spans="5:11" x14ac:dyDescent="0.25">
      <c r="E805">
        <v>0.79900000000000004</v>
      </c>
      <c r="F805" s="2">
        <f t="shared" si="73"/>
        <v>39950.000003337271</v>
      </c>
      <c r="G805" s="2">
        <f t="shared" si="74"/>
        <v>14382000.001201417</v>
      </c>
      <c r="H805" s="26">
        <f t="shared" si="75"/>
        <v>13782000.001201417</v>
      </c>
      <c r="I805" s="26">
        <f t="shared" si="77"/>
        <v>17999.999967271462</v>
      </c>
      <c r="J805" s="26">
        <f t="shared" si="76"/>
        <v>7210975</v>
      </c>
      <c r="K805" s="2">
        <f t="shared" si="72"/>
        <v>6571025.0012014173</v>
      </c>
    </row>
    <row r="806" spans="5:11" x14ac:dyDescent="0.25">
      <c r="E806">
        <v>0.8</v>
      </c>
      <c r="F806" s="2">
        <f t="shared" si="73"/>
        <v>40000.000003248773</v>
      </c>
      <c r="G806" s="2">
        <f t="shared" si="74"/>
        <v>14400000.001169559</v>
      </c>
      <c r="H806" s="26">
        <f t="shared" si="75"/>
        <v>13800000.001169559</v>
      </c>
      <c r="I806" s="26">
        <f t="shared" si="77"/>
        <v>17999.999968141317</v>
      </c>
      <c r="J806" s="26">
        <f t="shared" si="76"/>
        <v>7220000</v>
      </c>
      <c r="K806" s="2">
        <f t="shared" si="72"/>
        <v>6580000.0011695586</v>
      </c>
    </row>
    <row r="807" spans="5:11" x14ac:dyDescent="0.25">
      <c r="E807">
        <v>0.80100000000000005</v>
      </c>
      <c r="F807" s="2">
        <f t="shared" si="73"/>
        <v>40050.000003162633</v>
      </c>
      <c r="G807" s="2">
        <f t="shared" si="74"/>
        <v>14418000.001138547</v>
      </c>
      <c r="H807" s="26">
        <f t="shared" si="75"/>
        <v>13818000.001138547</v>
      </c>
      <c r="I807" s="26">
        <f t="shared" si="77"/>
        <v>17999.999968988821</v>
      </c>
      <c r="J807" s="26">
        <f t="shared" si="76"/>
        <v>7229025</v>
      </c>
      <c r="K807" s="2">
        <f t="shared" si="72"/>
        <v>6588975.0011385474</v>
      </c>
    </row>
    <row r="808" spans="5:11" x14ac:dyDescent="0.25">
      <c r="E808">
        <v>0.80200000000000005</v>
      </c>
      <c r="F808" s="2">
        <f t="shared" si="73"/>
        <v>40100.000003078771</v>
      </c>
      <c r="G808" s="2">
        <f t="shared" si="74"/>
        <v>14436000.001108358</v>
      </c>
      <c r="H808" s="26">
        <f t="shared" si="75"/>
        <v>13836000.001108358</v>
      </c>
      <c r="I808" s="26">
        <f t="shared" si="77"/>
        <v>17999.999969810247</v>
      </c>
      <c r="J808" s="26">
        <f t="shared" si="76"/>
        <v>7238050</v>
      </c>
      <c r="K808" s="2">
        <f t="shared" si="72"/>
        <v>6597950.0011083577</v>
      </c>
    </row>
    <row r="809" spans="5:11" x14ac:dyDescent="0.25">
      <c r="E809">
        <v>0.80300000000000005</v>
      </c>
      <c r="F809" s="2">
        <f t="shared" si="73"/>
        <v>40150.000002997134</v>
      </c>
      <c r="G809" s="2">
        <f t="shared" si="74"/>
        <v>14454000.001078969</v>
      </c>
      <c r="H809" s="26">
        <f t="shared" si="75"/>
        <v>13854000.001078969</v>
      </c>
      <c r="I809" s="26">
        <f t="shared" si="77"/>
        <v>17999.999970611185</v>
      </c>
      <c r="J809" s="26">
        <f t="shared" si="76"/>
        <v>7247075</v>
      </c>
      <c r="K809" s="2">
        <f t="shared" si="72"/>
        <v>6606925.0010789689</v>
      </c>
    </row>
    <row r="810" spans="5:11" x14ac:dyDescent="0.25">
      <c r="E810">
        <v>0.80400000000000005</v>
      </c>
      <c r="F810" s="2">
        <f t="shared" si="73"/>
        <v>40200.000002917666</v>
      </c>
      <c r="G810" s="2">
        <f t="shared" si="74"/>
        <v>14472000.001050361</v>
      </c>
      <c r="H810" s="26">
        <f t="shared" si="75"/>
        <v>13872000.001050361</v>
      </c>
      <c r="I810" s="26">
        <f t="shared" si="77"/>
        <v>17999.999971391633</v>
      </c>
      <c r="J810" s="26">
        <f t="shared" si="76"/>
        <v>7256100</v>
      </c>
      <c r="K810" s="2">
        <f t="shared" si="72"/>
        <v>6615900.0010503605</v>
      </c>
    </row>
    <row r="811" spans="5:11" x14ac:dyDescent="0.25">
      <c r="E811">
        <v>0.80500000000000005</v>
      </c>
      <c r="F811" s="2">
        <f t="shared" si="73"/>
        <v>40250.000002840308</v>
      </c>
      <c r="G811" s="2">
        <f t="shared" si="74"/>
        <v>14490000.00102251</v>
      </c>
      <c r="H811" s="26">
        <f t="shared" si="75"/>
        <v>13890000.00102251</v>
      </c>
      <c r="I811" s="26">
        <f t="shared" si="77"/>
        <v>17999.99997214973</v>
      </c>
      <c r="J811" s="26">
        <f t="shared" si="76"/>
        <v>7265125.0000000009</v>
      </c>
      <c r="K811" s="2">
        <f t="shared" si="72"/>
        <v>6624875.0010225093</v>
      </c>
    </row>
    <row r="812" spans="5:11" x14ac:dyDescent="0.25">
      <c r="E812">
        <v>0.80600000000000005</v>
      </c>
      <c r="F812" s="2">
        <f t="shared" si="73"/>
        <v>40300.000002764995</v>
      </c>
      <c r="G812" s="2">
        <f t="shared" si="74"/>
        <v>14508000.000995398</v>
      </c>
      <c r="H812" s="26">
        <f t="shared" si="75"/>
        <v>13908000.000995398</v>
      </c>
      <c r="I812" s="26">
        <f t="shared" si="77"/>
        <v>17999.999972887337</v>
      </c>
      <c r="J812" s="26">
        <f t="shared" si="76"/>
        <v>7274150.0000000009</v>
      </c>
      <c r="K812" s="2">
        <f t="shared" si="72"/>
        <v>6633850.0009953966</v>
      </c>
    </row>
    <row r="813" spans="5:11" x14ac:dyDescent="0.25">
      <c r="E813">
        <v>0.80700000000000005</v>
      </c>
      <c r="F813" s="2">
        <f t="shared" si="73"/>
        <v>40350.00000269169</v>
      </c>
      <c r="G813" s="2">
        <f t="shared" si="74"/>
        <v>14526000.000969008</v>
      </c>
      <c r="H813" s="26">
        <f t="shared" si="75"/>
        <v>13926000.000969008</v>
      </c>
      <c r="I813" s="26">
        <f t="shared" si="77"/>
        <v>17999.999973610044</v>
      </c>
      <c r="J813" s="26">
        <f t="shared" si="76"/>
        <v>7283175.0000000009</v>
      </c>
      <c r="K813" s="2">
        <f t="shared" si="72"/>
        <v>6642825.0009690067</v>
      </c>
    </row>
    <row r="814" spans="5:11" x14ac:dyDescent="0.25">
      <c r="E814">
        <v>0.80800000000000005</v>
      </c>
      <c r="F814" s="2">
        <f t="shared" si="73"/>
        <v>40400.000002620334</v>
      </c>
      <c r="G814" s="2">
        <f t="shared" si="74"/>
        <v>14544000.00094332</v>
      </c>
      <c r="H814" s="26">
        <f t="shared" si="75"/>
        <v>13944000.00094332</v>
      </c>
      <c r="I814" s="26">
        <f t="shared" si="77"/>
        <v>17999.999974312261</v>
      </c>
      <c r="J814" s="26">
        <f t="shared" si="76"/>
        <v>7292200.0000000009</v>
      </c>
      <c r="K814" s="2">
        <f t="shared" si="72"/>
        <v>6651800.0009433189</v>
      </c>
    </row>
    <row r="815" spans="5:11" x14ac:dyDescent="0.25">
      <c r="E815">
        <v>0.80900000000000005</v>
      </c>
      <c r="F815" s="2">
        <f t="shared" si="73"/>
        <v>40450.000002550856</v>
      </c>
      <c r="G815" s="2">
        <f t="shared" si="74"/>
        <v>14562000.000918308</v>
      </c>
      <c r="H815" s="26">
        <f t="shared" si="75"/>
        <v>13962000.000918308</v>
      </c>
      <c r="I815" s="26">
        <f t="shared" si="77"/>
        <v>17999.999974988401</v>
      </c>
      <c r="J815" s="26">
        <f t="shared" si="76"/>
        <v>7301225.0000000009</v>
      </c>
      <c r="K815" s="2">
        <f t="shared" si="72"/>
        <v>6660775.0009183073</v>
      </c>
    </row>
    <row r="816" spans="5:11" x14ac:dyDescent="0.25">
      <c r="E816">
        <v>0.81</v>
      </c>
      <c r="F816" s="2">
        <f t="shared" si="73"/>
        <v>40500.000002483226</v>
      </c>
      <c r="G816" s="2">
        <f t="shared" si="74"/>
        <v>14580000.000893962</v>
      </c>
      <c r="H816" s="26">
        <f t="shared" si="75"/>
        <v>13980000.000893962</v>
      </c>
      <c r="I816" s="26">
        <f t="shared" si="77"/>
        <v>17999.999975653365</v>
      </c>
      <c r="J816" s="26">
        <f t="shared" si="76"/>
        <v>7310250.0000000009</v>
      </c>
      <c r="K816" s="2">
        <f t="shared" si="72"/>
        <v>6669750.0008939607</v>
      </c>
    </row>
    <row r="817" spans="5:11" x14ac:dyDescent="0.25">
      <c r="E817">
        <v>0.81100000000000005</v>
      </c>
      <c r="F817" s="2">
        <f t="shared" si="73"/>
        <v>40550.000002417401</v>
      </c>
      <c r="G817" s="2">
        <f t="shared" si="74"/>
        <v>14598000.000870265</v>
      </c>
      <c r="H817" s="26">
        <f t="shared" si="75"/>
        <v>13998000.000870265</v>
      </c>
      <c r="I817" s="26">
        <f t="shared" si="77"/>
        <v>17999.999976303428</v>
      </c>
      <c r="J817" s="26">
        <f t="shared" si="76"/>
        <v>7319275.0000000009</v>
      </c>
      <c r="K817" s="2">
        <f t="shared" si="72"/>
        <v>6678725.0008702641</v>
      </c>
    </row>
    <row r="818" spans="5:11" x14ac:dyDescent="0.25">
      <c r="E818">
        <v>0.81200000000000006</v>
      </c>
      <c r="F818" s="2">
        <f t="shared" si="73"/>
        <v>40600.000002353314</v>
      </c>
      <c r="G818" s="2">
        <f t="shared" si="74"/>
        <v>14616000.000847192</v>
      </c>
      <c r="H818" s="26">
        <f t="shared" si="75"/>
        <v>14016000.000847192</v>
      </c>
      <c r="I818" s="26">
        <f t="shared" si="77"/>
        <v>17999.999976927415</v>
      </c>
      <c r="J818" s="26">
        <f t="shared" si="76"/>
        <v>7328300.0000000009</v>
      </c>
      <c r="K818" s="2">
        <f t="shared" si="72"/>
        <v>6687700.0008471915</v>
      </c>
    </row>
    <row r="819" spans="5:11" x14ac:dyDescent="0.25">
      <c r="E819">
        <v>0.81299999999999994</v>
      </c>
      <c r="F819" s="2">
        <f t="shared" si="73"/>
        <v>40650.000002290923</v>
      </c>
      <c r="G819" s="2">
        <f t="shared" si="74"/>
        <v>14634000.000824733</v>
      </c>
      <c r="H819" s="26">
        <f t="shared" si="75"/>
        <v>14034000.000824733</v>
      </c>
      <c r="I819" s="26">
        <f t="shared" si="77"/>
        <v>17999.999977540225</v>
      </c>
      <c r="J819" s="26">
        <f t="shared" si="76"/>
        <v>7337324.9999999991</v>
      </c>
      <c r="K819" s="2">
        <f t="shared" si="72"/>
        <v>6696675.0008247336</v>
      </c>
    </row>
    <row r="820" spans="5:11" x14ac:dyDescent="0.25">
      <c r="E820">
        <v>0.81399999999999995</v>
      </c>
      <c r="F820" s="2">
        <f t="shared" si="73"/>
        <v>40700.000002230197</v>
      </c>
      <c r="G820" s="2">
        <f t="shared" si="74"/>
        <v>14652000.000802871</v>
      </c>
      <c r="H820" s="26">
        <f t="shared" si="75"/>
        <v>14052000.000802871</v>
      </c>
      <c r="I820" s="26">
        <f t="shared" si="77"/>
        <v>17999.999978138134</v>
      </c>
      <c r="J820" s="26">
        <f t="shared" si="76"/>
        <v>7346349.9999999991</v>
      </c>
      <c r="K820" s="2">
        <f t="shared" si="72"/>
        <v>6705650.0008028718</v>
      </c>
    </row>
    <row r="821" spans="5:11" x14ac:dyDescent="0.25">
      <c r="E821">
        <v>0.81499999999999995</v>
      </c>
      <c r="F821" s="2">
        <f t="shared" si="73"/>
        <v>40750.000002171088</v>
      </c>
      <c r="G821" s="2">
        <f t="shared" si="74"/>
        <v>14670000.000781592</v>
      </c>
      <c r="H821" s="26">
        <f t="shared" si="75"/>
        <v>14070000.000781592</v>
      </c>
      <c r="I821" s="26">
        <f t="shared" si="77"/>
        <v>17999.999978721142</v>
      </c>
      <c r="J821" s="26">
        <f t="shared" si="76"/>
        <v>7355374.9999999991</v>
      </c>
      <c r="K821" s="2">
        <f t="shared" si="72"/>
        <v>6714625.0007815929</v>
      </c>
    </row>
    <row r="822" spans="5:11" x14ac:dyDescent="0.25">
      <c r="E822">
        <v>0.81599999999999995</v>
      </c>
      <c r="F822" s="2">
        <f t="shared" si="73"/>
        <v>40800.000002113527</v>
      </c>
      <c r="G822" s="2">
        <f t="shared" si="74"/>
        <v>14688000.00076087</v>
      </c>
      <c r="H822" s="26">
        <f t="shared" si="75"/>
        <v>14088000.00076087</v>
      </c>
      <c r="I822" s="26">
        <f t="shared" si="77"/>
        <v>17999.999979278073</v>
      </c>
      <c r="J822" s="26">
        <f t="shared" si="76"/>
        <v>7364399.9999999991</v>
      </c>
      <c r="K822" s="2">
        <f t="shared" si="72"/>
        <v>6723600.000760871</v>
      </c>
    </row>
    <row r="823" spans="5:11" x14ac:dyDescent="0.25">
      <c r="E823">
        <v>0.81699999999999995</v>
      </c>
      <c r="F823" s="2">
        <f t="shared" si="73"/>
        <v>40850.00000205751</v>
      </c>
      <c r="G823" s="2">
        <f t="shared" si="74"/>
        <v>14706000.000740703</v>
      </c>
      <c r="H823" s="26">
        <f t="shared" si="75"/>
        <v>14106000.000740703</v>
      </c>
      <c r="I823" s="26">
        <f t="shared" si="77"/>
        <v>17999.999979833141</v>
      </c>
      <c r="J823" s="26">
        <f t="shared" si="76"/>
        <v>7373424.9999999991</v>
      </c>
      <c r="K823" s="2">
        <f t="shared" si="72"/>
        <v>6732575.0007407041</v>
      </c>
    </row>
    <row r="824" spans="5:11" x14ac:dyDescent="0.25">
      <c r="E824">
        <v>0.81799999999999995</v>
      </c>
      <c r="F824" s="2">
        <f t="shared" si="73"/>
        <v>40900.000002002969</v>
      </c>
      <c r="G824" s="2">
        <f t="shared" si="74"/>
        <v>14724000.000721069</v>
      </c>
      <c r="H824" s="26">
        <f t="shared" si="75"/>
        <v>14124000.000721069</v>
      </c>
      <c r="I824" s="26">
        <f t="shared" si="77"/>
        <v>17999.999980365857</v>
      </c>
      <c r="J824" s="26">
        <f t="shared" si="76"/>
        <v>7382449.9999999991</v>
      </c>
      <c r="K824" s="2">
        <f t="shared" si="72"/>
        <v>6741550.00072107</v>
      </c>
    </row>
    <row r="825" spans="5:11" x14ac:dyDescent="0.25">
      <c r="E825">
        <v>0.81899999999999995</v>
      </c>
      <c r="F825" s="2">
        <f t="shared" si="73"/>
        <v>40950.000001949877</v>
      </c>
      <c r="G825" s="2">
        <f t="shared" si="74"/>
        <v>14742000.000701956</v>
      </c>
      <c r="H825" s="26">
        <f t="shared" si="75"/>
        <v>14142000.000701956</v>
      </c>
      <c r="I825" s="26">
        <f t="shared" si="77"/>
        <v>17999.999980887398</v>
      </c>
      <c r="J825" s="26">
        <f t="shared" si="76"/>
        <v>7391474.9999999991</v>
      </c>
      <c r="K825" s="2">
        <f t="shared" si="72"/>
        <v>6750525.0007019574</v>
      </c>
    </row>
    <row r="826" spans="5:11" x14ac:dyDescent="0.25">
      <c r="E826">
        <v>0.82</v>
      </c>
      <c r="F826" s="2">
        <f t="shared" si="73"/>
        <v>41000.00000189821</v>
      </c>
      <c r="G826" s="2">
        <f t="shared" si="74"/>
        <v>14760000.000683356</v>
      </c>
      <c r="H826" s="26">
        <f t="shared" si="75"/>
        <v>14160000.000683356</v>
      </c>
      <c r="I826" s="26">
        <f t="shared" si="77"/>
        <v>17999.999981399626</v>
      </c>
      <c r="J826" s="26">
        <f t="shared" si="76"/>
        <v>7400499.9999999991</v>
      </c>
      <c r="K826" s="2">
        <f t="shared" si="72"/>
        <v>6759500.000683357</v>
      </c>
    </row>
    <row r="827" spans="5:11" x14ac:dyDescent="0.25">
      <c r="E827">
        <v>0.82099999999999995</v>
      </c>
      <c r="F827" s="2">
        <f t="shared" si="73"/>
        <v>41050.000001847904</v>
      </c>
      <c r="G827" s="2">
        <f t="shared" si="74"/>
        <v>14778000.000665246</v>
      </c>
      <c r="H827" s="26">
        <f t="shared" si="75"/>
        <v>14178000.000665246</v>
      </c>
      <c r="I827" s="26">
        <f t="shared" si="77"/>
        <v>17999.999981889501</v>
      </c>
      <c r="J827" s="26">
        <f t="shared" si="76"/>
        <v>7409525</v>
      </c>
      <c r="K827" s="2">
        <f t="shared" si="72"/>
        <v>6768475.0006652456</v>
      </c>
    </row>
    <row r="828" spans="5:11" x14ac:dyDescent="0.25">
      <c r="E828">
        <v>0.82199999999999995</v>
      </c>
      <c r="F828" s="2">
        <f t="shared" si="73"/>
        <v>41100.000001798922</v>
      </c>
      <c r="G828" s="2">
        <f t="shared" si="74"/>
        <v>14796000.000647612</v>
      </c>
      <c r="H828" s="26">
        <f t="shared" si="75"/>
        <v>14196000.000647612</v>
      </c>
      <c r="I828" s="26">
        <f t="shared" si="77"/>
        <v>17999.999982366338</v>
      </c>
      <c r="J828" s="26">
        <f t="shared" si="76"/>
        <v>7418550</v>
      </c>
      <c r="K828" s="2">
        <f t="shared" si="72"/>
        <v>6777450.0006476119</v>
      </c>
    </row>
    <row r="829" spans="5:11" x14ac:dyDescent="0.25">
      <c r="E829">
        <v>0.82299999999999995</v>
      </c>
      <c r="F829" s="2">
        <f t="shared" si="73"/>
        <v>41150.000001751243</v>
      </c>
      <c r="G829" s="2">
        <f t="shared" si="74"/>
        <v>14814000.000630448</v>
      </c>
      <c r="H829" s="26">
        <f t="shared" si="75"/>
        <v>14214000.000630448</v>
      </c>
      <c r="I829" s="26">
        <f t="shared" si="77"/>
        <v>17999.999982835725</v>
      </c>
      <c r="J829" s="26">
        <f t="shared" si="76"/>
        <v>7427575</v>
      </c>
      <c r="K829" s="2">
        <f t="shared" si="72"/>
        <v>6786425.0006304476</v>
      </c>
    </row>
    <row r="830" spans="5:11" x14ac:dyDescent="0.25">
      <c r="E830">
        <v>0.82399999999999995</v>
      </c>
      <c r="F830" s="2">
        <f t="shared" si="73"/>
        <v>41200.000001704837</v>
      </c>
      <c r="G830" s="2">
        <f t="shared" si="74"/>
        <v>14832000.000613742</v>
      </c>
      <c r="H830" s="26">
        <f t="shared" si="75"/>
        <v>14232000.000613742</v>
      </c>
      <c r="I830" s="26">
        <f t="shared" si="77"/>
        <v>17999.999983293936</v>
      </c>
      <c r="J830" s="26">
        <f t="shared" si="76"/>
        <v>7436600</v>
      </c>
      <c r="K830" s="2">
        <f t="shared" si="72"/>
        <v>6795400.0006137416</v>
      </c>
    </row>
    <row r="831" spans="5:11" x14ac:dyDescent="0.25">
      <c r="E831">
        <v>0.82499999999999996</v>
      </c>
      <c r="F831" s="2">
        <f t="shared" si="73"/>
        <v>41250.000001659653</v>
      </c>
      <c r="G831" s="2">
        <f t="shared" si="74"/>
        <v>14850000.000597475</v>
      </c>
      <c r="H831" s="26">
        <f t="shared" si="75"/>
        <v>14250000.000597475</v>
      </c>
      <c r="I831" s="26">
        <f t="shared" si="77"/>
        <v>17999.99998373352</v>
      </c>
      <c r="J831" s="26">
        <f t="shared" si="76"/>
        <v>7445625</v>
      </c>
      <c r="K831" s="2">
        <f t="shared" si="72"/>
        <v>6804375.0005974751</v>
      </c>
    </row>
    <row r="832" spans="5:11" x14ac:dyDescent="0.25">
      <c r="E832">
        <v>0.82599999999999996</v>
      </c>
      <c r="F832" s="2">
        <f t="shared" si="73"/>
        <v>41300.00000161567</v>
      </c>
      <c r="G832" s="2">
        <f t="shared" si="74"/>
        <v>14868000.000581641</v>
      </c>
      <c r="H832" s="26">
        <f t="shared" si="75"/>
        <v>14268000.000581641</v>
      </c>
      <c r="I832" s="26">
        <f t="shared" si="77"/>
        <v>17999.999984165654</v>
      </c>
      <c r="J832" s="26">
        <f t="shared" si="76"/>
        <v>7454650</v>
      </c>
      <c r="K832" s="2">
        <f t="shared" si="72"/>
        <v>6813350.0005816408</v>
      </c>
    </row>
    <row r="833" spans="5:11" x14ac:dyDescent="0.25">
      <c r="E833">
        <v>0.82699999999999996</v>
      </c>
      <c r="F833" s="2">
        <f t="shared" si="73"/>
        <v>41350.000001572858</v>
      </c>
      <c r="G833" s="2">
        <f t="shared" si="74"/>
        <v>14886000.000566229</v>
      </c>
      <c r="H833" s="26">
        <f t="shared" si="75"/>
        <v>14286000.000566229</v>
      </c>
      <c r="I833" s="26">
        <f t="shared" si="77"/>
        <v>17999.999984588474</v>
      </c>
      <c r="J833" s="26">
        <f t="shared" si="76"/>
        <v>7463675</v>
      </c>
      <c r="K833" s="2">
        <f t="shared" si="72"/>
        <v>6822325.0005662292</v>
      </c>
    </row>
    <row r="834" spans="5:11" x14ac:dyDescent="0.25">
      <c r="E834">
        <v>0.82799999999999996</v>
      </c>
      <c r="F834" s="2">
        <f t="shared" si="73"/>
        <v>41400.000001531182</v>
      </c>
      <c r="G834" s="2">
        <f t="shared" si="74"/>
        <v>14904000.000551226</v>
      </c>
      <c r="H834" s="26">
        <f t="shared" si="75"/>
        <v>14304000.000551226</v>
      </c>
      <c r="I834" s="26">
        <f t="shared" si="77"/>
        <v>17999.999984996393</v>
      </c>
      <c r="J834" s="26">
        <f t="shared" si="76"/>
        <v>7472700</v>
      </c>
      <c r="K834" s="2">
        <f t="shared" si="72"/>
        <v>6831300.0005512256</v>
      </c>
    </row>
    <row r="835" spans="5:11" x14ac:dyDescent="0.25">
      <c r="E835">
        <v>0.82899999999999996</v>
      </c>
      <c r="F835" s="2">
        <f t="shared" si="73"/>
        <v>41450.000001490611</v>
      </c>
      <c r="G835" s="2">
        <f t="shared" si="74"/>
        <v>14922000.000536621</v>
      </c>
      <c r="H835" s="26">
        <f t="shared" si="75"/>
        <v>14322000.000536621</v>
      </c>
      <c r="I835" s="26">
        <f t="shared" si="77"/>
        <v>17999.999985394999</v>
      </c>
      <c r="J835" s="26">
        <f t="shared" si="76"/>
        <v>7481725</v>
      </c>
      <c r="K835" s="2">
        <f t="shared" si="72"/>
        <v>6840275.0005366206</v>
      </c>
    </row>
    <row r="836" spans="5:11" x14ac:dyDescent="0.25">
      <c r="E836">
        <v>0.83</v>
      </c>
      <c r="F836" s="2">
        <f t="shared" si="73"/>
        <v>41500.00000145111</v>
      </c>
      <c r="G836" s="2">
        <f t="shared" si="74"/>
        <v>14940000.000522399</v>
      </c>
      <c r="H836" s="26">
        <f t="shared" si="75"/>
        <v>14340000.000522399</v>
      </c>
      <c r="I836" s="26">
        <f t="shared" si="77"/>
        <v>17999.999985778704</v>
      </c>
      <c r="J836" s="26">
        <f t="shared" si="76"/>
        <v>7490750</v>
      </c>
      <c r="K836" s="2">
        <f t="shared" si="72"/>
        <v>6849250.0005223993</v>
      </c>
    </row>
    <row r="837" spans="5:11" x14ac:dyDescent="0.25">
      <c r="E837">
        <v>0.83099999999999996</v>
      </c>
      <c r="F837" s="2">
        <f t="shared" si="73"/>
        <v>41550.000001412656</v>
      </c>
      <c r="G837" s="2">
        <f t="shared" si="74"/>
        <v>14958000.000508556</v>
      </c>
      <c r="H837" s="26">
        <f t="shared" si="75"/>
        <v>14358000.000508556</v>
      </c>
      <c r="I837" s="26">
        <f t="shared" si="77"/>
        <v>17999.999986156821</v>
      </c>
      <c r="J837" s="26">
        <f t="shared" si="76"/>
        <v>7499775</v>
      </c>
      <c r="K837" s="2">
        <f t="shared" si="72"/>
        <v>6858225.0005085561</v>
      </c>
    </row>
    <row r="838" spans="5:11" x14ac:dyDescent="0.25">
      <c r="E838">
        <v>0.83199999999999996</v>
      </c>
      <c r="F838" s="2">
        <f t="shared" si="73"/>
        <v>41600.000001375229</v>
      </c>
      <c r="G838" s="2">
        <f t="shared" si="74"/>
        <v>14976000.000495082</v>
      </c>
      <c r="H838" s="26">
        <f t="shared" si="75"/>
        <v>14376000.000495082</v>
      </c>
      <c r="I838" s="26">
        <f t="shared" si="77"/>
        <v>17999.999986525625</v>
      </c>
      <c r="J838" s="26">
        <f t="shared" si="76"/>
        <v>7508800</v>
      </c>
      <c r="K838" s="2">
        <f t="shared" ref="K838:K901" si="78">H838-J838</f>
        <v>6867200.0004950818</v>
      </c>
    </row>
    <row r="839" spans="5:11" x14ac:dyDescent="0.25">
      <c r="E839">
        <v>0.83299999999999996</v>
      </c>
      <c r="F839" s="2">
        <f t="shared" ref="F839:F902" si="79">PMT(E839/12,$C$7,-$C$6,0,0)</f>
        <v>41650.000001338798</v>
      </c>
      <c r="G839" s="2">
        <f t="shared" ref="G839:G902" si="80">360*F839</f>
        <v>14994000.000481967</v>
      </c>
      <c r="H839" s="26">
        <f t="shared" ref="H839:H902" si="81">360*F839-$C$6</f>
        <v>14394000.000481967</v>
      </c>
      <c r="I839" s="26">
        <f t="shared" si="77"/>
        <v>17999.999986885116</v>
      </c>
      <c r="J839" s="26">
        <f t="shared" ref="J839:J902" si="82">$C$6*E839/12*($C$7+1)/2</f>
        <v>7517825</v>
      </c>
      <c r="K839" s="2">
        <f t="shared" si="78"/>
        <v>6876175.0004819669</v>
      </c>
    </row>
    <row r="840" spans="5:11" x14ac:dyDescent="0.25">
      <c r="E840">
        <v>0.83399999999999996</v>
      </c>
      <c r="F840" s="2">
        <f t="shared" si="79"/>
        <v>41700.00000130332</v>
      </c>
      <c r="G840" s="2">
        <f t="shared" si="80"/>
        <v>15012000.000469195</v>
      </c>
      <c r="H840" s="26">
        <f t="shared" si="81"/>
        <v>14412000.000469195</v>
      </c>
      <c r="I840" s="26">
        <f t="shared" si="77"/>
        <v>17999.999987227842</v>
      </c>
      <c r="J840" s="26">
        <f t="shared" si="82"/>
        <v>7526850</v>
      </c>
      <c r="K840" s="2">
        <f t="shared" si="78"/>
        <v>6885150.0004691947</v>
      </c>
    </row>
    <row r="841" spans="5:11" x14ac:dyDescent="0.25">
      <c r="E841">
        <v>0.83499999999999996</v>
      </c>
      <c r="F841" s="2">
        <f t="shared" si="79"/>
        <v>41750.000001268789</v>
      </c>
      <c r="G841" s="2">
        <f t="shared" si="80"/>
        <v>15030000.000456763</v>
      </c>
      <c r="H841" s="26">
        <f t="shared" si="81"/>
        <v>14430000.000456763</v>
      </c>
      <c r="I841" s="26">
        <f t="shared" ref="I841:I904" si="83">H841-H840</f>
        <v>17999.999987568706</v>
      </c>
      <c r="J841" s="26">
        <f t="shared" si="82"/>
        <v>7535875</v>
      </c>
      <c r="K841" s="2">
        <f t="shared" si="78"/>
        <v>6894125.0004567634</v>
      </c>
    </row>
    <row r="842" spans="5:11" x14ac:dyDescent="0.25">
      <c r="E842">
        <v>0.83599999999999997</v>
      </c>
      <c r="F842" s="2">
        <f t="shared" si="79"/>
        <v>41800.000001235181</v>
      </c>
      <c r="G842" s="2">
        <f t="shared" si="80"/>
        <v>15048000.000444666</v>
      </c>
      <c r="H842" s="26">
        <f t="shared" si="81"/>
        <v>14448000.000444666</v>
      </c>
      <c r="I842" s="26">
        <f t="shared" si="83"/>
        <v>17999.99998790212</v>
      </c>
      <c r="J842" s="26">
        <f t="shared" si="82"/>
        <v>7544900</v>
      </c>
      <c r="K842" s="2">
        <f t="shared" si="78"/>
        <v>6903100.0004446656</v>
      </c>
    </row>
    <row r="843" spans="5:11" x14ac:dyDescent="0.25">
      <c r="E843">
        <v>0.83699999999999997</v>
      </c>
      <c r="F843" s="2">
        <f t="shared" si="79"/>
        <v>41850.000001202454</v>
      </c>
      <c r="G843" s="2">
        <f t="shared" si="80"/>
        <v>15066000.000432882</v>
      </c>
      <c r="H843" s="26">
        <f t="shared" si="81"/>
        <v>14466000.000432882</v>
      </c>
      <c r="I843" s="26">
        <f t="shared" si="83"/>
        <v>17999.999988216907</v>
      </c>
      <c r="J843" s="26">
        <f t="shared" si="82"/>
        <v>7553925</v>
      </c>
      <c r="K843" s="2">
        <f t="shared" si="78"/>
        <v>6912075.0004328825</v>
      </c>
    </row>
    <row r="844" spans="5:11" x14ac:dyDescent="0.25">
      <c r="E844">
        <v>0.83799999999999997</v>
      </c>
      <c r="F844" s="2">
        <f t="shared" si="79"/>
        <v>41900.0000011706</v>
      </c>
      <c r="G844" s="2">
        <f t="shared" si="80"/>
        <v>15084000.000421416</v>
      </c>
      <c r="H844" s="26">
        <f t="shared" si="81"/>
        <v>14484000.000421416</v>
      </c>
      <c r="I844" s="26">
        <f t="shared" si="83"/>
        <v>17999.999988533556</v>
      </c>
      <c r="J844" s="26">
        <f t="shared" si="82"/>
        <v>7562950</v>
      </c>
      <c r="K844" s="2">
        <f t="shared" si="78"/>
        <v>6921050.000421416</v>
      </c>
    </row>
    <row r="845" spans="5:11" x14ac:dyDescent="0.25">
      <c r="E845">
        <v>0.83899999999999997</v>
      </c>
      <c r="F845" s="2">
        <f t="shared" si="79"/>
        <v>41950.000001139597</v>
      </c>
      <c r="G845" s="2">
        <f t="shared" si="80"/>
        <v>15102000.000410255</v>
      </c>
      <c r="H845" s="26">
        <f t="shared" si="81"/>
        <v>14502000.000410255</v>
      </c>
      <c r="I845" s="26">
        <f t="shared" si="83"/>
        <v>17999.99998883903</v>
      </c>
      <c r="J845" s="26">
        <f t="shared" si="82"/>
        <v>7571975</v>
      </c>
      <c r="K845" s="2">
        <f t="shared" si="78"/>
        <v>6930025.000410255</v>
      </c>
    </row>
    <row r="846" spans="5:11" x14ac:dyDescent="0.25">
      <c r="E846">
        <v>0.84</v>
      </c>
      <c r="F846" s="2">
        <f t="shared" si="79"/>
        <v>42000.000001109394</v>
      </c>
      <c r="G846" s="2">
        <f t="shared" si="80"/>
        <v>15120000.000399383</v>
      </c>
      <c r="H846" s="26">
        <f t="shared" si="81"/>
        <v>14520000.000399383</v>
      </c>
      <c r="I846" s="26">
        <f t="shared" si="83"/>
        <v>17999.99998912774</v>
      </c>
      <c r="J846" s="26">
        <f t="shared" si="82"/>
        <v>7581000</v>
      </c>
      <c r="K846" s="2">
        <f t="shared" si="78"/>
        <v>6939000.0003993828</v>
      </c>
    </row>
    <row r="847" spans="5:11" x14ac:dyDescent="0.25">
      <c r="E847">
        <v>0.84099999999999997</v>
      </c>
      <c r="F847" s="2">
        <f t="shared" si="79"/>
        <v>42050.000001080014</v>
      </c>
      <c r="G847" s="2">
        <f t="shared" si="80"/>
        <v>15138000.000388805</v>
      </c>
      <c r="H847" s="26">
        <f t="shared" si="81"/>
        <v>14538000.000388805</v>
      </c>
      <c r="I847" s="26">
        <f t="shared" si="83"/>
        <v>17999.999989422038</v>
      </c>
      <c r="J847" s="26">
        <f t="shared" si="82"/>
        <v>7590025</v>
      </c>
      <c r="K847" s="2">
        <f t="shared" si="78"/>
        <v>6947975.0003888048</v>
      </c>
    </row>
    <row r="848" spans="5:11" x14ac:dyDescent="0.25">
      <c r="E848">
        <v>0.84199999999999997</v>
      </c>
      <c r="F848" s="2">
        <f t="shared" si="79"/>
        <v>42100.000001051405</v>
      </c>
      <c r="G848" s="2">
        <f t="shared" si="80"/>
        <v>15156000.000378506</v>
      </c>
      <c r="H848" s="26">
        <f t="shared" si="81"/>
        <v>14556000.000378506</v>
      </c>
      <c r="I848" s="26">
        <f t="shared" si="83"/>
        <v>17999.999989701435</v>
      </c>
      <c r="J848" s="26">
        <f t="shared" si="82"/>
        <v>7599050</v>
      </c>
      <c r="K848" s="2">
        <f t="shared" si="78"/>
        <v>6956950.0003785063</v>
      </c>
    </row>
    <row r="849" spans="5:11" x14ac:dyDescent="0.25">
      <c r="E849">
        <v>0.84299999999999997</v>
      </c>
      <c r="F849" s="2">
        <f t="shared" si="79"/>
        <v>42150.000001023553</v>
      </c>
      <c r="G849" s="2">
        <f t="shared" si="80"/>
        <v>15174000.00036848</v>
      </c>
      <c r="H849" s="26">
        <f t="shared" si="81"/>
        <v>14574000.00036848</v>
      </c>
      <c r="I849" s="26">
        <f t="shared" si="83"/>
        <v>17999.999989973381</v>
      </c>
      <c r="J849" s="26">
        <f t="shared" si="82"/>
        <v>7608075</v>
      </c>
      <c r="K849" s="2">
        <f t="shared" si="78"/>
        <v>6965925.0003684796</v>
      </c>
    </row>
    <row r="850" spans="5:11" x14ac:dyDescent="0.25">
      <c r="E850">
        <v>0.84399999999999997</v>
      </c>
      <c r="F850" s="2">
        <f t="shared" si="79"/>
        <v>42200.00000099645</v>
      </c>
      <c r="G850" s="2">
        <f t="shared" si="80"/>
        <v>15192000.000358721</v>
      </c>
      <c r="H850" s="26">
        <f t="shared" si="81"/>
        <v>14592000.000358721</v>
      </c>
      <c r="I850" s="26">
        <f t="shared" si="83"/>
        <v>17999.999990241602</v>
      </c>
      <c r="J850" s="26">
        <f t="shared" si="82"/>
        <v>7617100</v>
      </c>
      <c r="K850" s="2">
        <f t="shared" si="78"/>
        <v>6974900.0003587212</v>
      </c>
    </row>
    <row r="851" spans="5:11" x14ac:dyDescent="0.25">
      <c r="E851">
        <v>0.84499999999999997</v>
      </c>
      <c r="F851" s="2">
        <f t="shared" si="79"/>
        <v>42250.000000970052</v>
      </c>
      <c r="G851" s="2">
        <f t="shared" si="80"/>
        <v>15210000.000349218</v>
      </c>
      <c r="H851" s="26">
        <f t="shared" si="81"/>
        <v>14610000.000349218</v>
      </c>
      <c r="I851" s="26">
        <f t="shared" si="83"/>
        <v>17999.999990496784</v>
      </c>
      <c r="J851" s="26">
        <f t="shared" si="82"/>
        <v>7626125</v>
      </c>
      <c r="K851" s="2">
        <f t="shared" si="78"/>
        <v>6983875.000349218</v>
      </c>
    </row>
    <row r="852" spans="5:11" x14ac:dyDescent="0.25">
      <c r="E852">
        <v>0.84599999999999997</v>
      </c>
      <c r="F852" s="2">
        <f t="shared" si="79"/>
        <v>42300.000000944361</v>
      </c>
      <c r="G852" s="2">
        <f t="shared" si="80"/>
        <v>15228000.00033997</v>
      </c>
      <c r="H852" s="26">
        <f t="shared" si="81"/>
        <v>14628000.00033997</v>
      </c>
      <c r="I852" s="26">
        <f t="shared" si="83"/>
        <v>17999.999990751967</v>
      </c>
      <c r="J852" s="26">
        <f t="shared" si="82"/>
        <v>7635150</v>
      </c>
      <c r="K852" s="2">
        <f t="shared" si="78"/>
        <v>6992850.00033997</v>
      </c>
    </row>
    <row r="853" spans="5:11" x14ac:dyDescent="0.25">
      <c r="E853">
        <v>0.84699999999999998</v>
      </c>
      <c r="F853" s="2">
        <f t="shared" si="79"/>
        <v>42350.000000919346</v>
      </c>
      <c r="G853" s="2">
        <f t="shared" si="80"/>
        <v>15246000.000330964</v>
      </c>
      <c r="H853" s="26">
        <f t="shared" si="81"/>
        <v>14646000.000330964</v>
      </c>
      <c r="I853" s="26">
        <f t="shared" si="83"/>
        <v>17999.999990994111</v>
      </c>
      <c r="J853" s="26">
        <f t="shared" si="82"/>
        <v>7644175</v>
      </c>
      <c r="K853" s="2">
        <f t="shared" si="78"/>
        <v>7001825.0003309641</v>
      </c>
    </row>
    <row r="854" spans="5:11" x14ac:dyDescent="0.25">
      <c r="E854">
        <v>0.84799999999999998</v>
      </c>
      <c r="F854" s="2">
        <f t="shared" si="79"/>
        <v>42400.000000895008</v>
      </c>
      <c r="G854" s="2">
        <f t="shared" si="80"/>
        <v>15264000.000322202</v>
      </c>
      <c r="H854" s="26">
        <f t="shared" si="81"/>
        <v>14664000.000322202</v>
      </c>
      <c r="I854" s="26">
        <f t="shared" si="83"/>
        <v>17999.999991238117</v>
      </c>
      <c r="J854" s="26">
        <f t="shared" si="82"/>
        <v>7653200</v>
      </c>
      <c r="K854" s="2">
        <f t="shared" si="78"/>
        <v>7010800.0003222022</v>
      </c>
    </row>
    <row r="855" spans="5:11" x14ac:dyDescent="0.25">
      <c r="E855">
        <v>0.84899999999999998</v>
      </c>
      <c r="F855" s="2">
        <f t="shared" si="79"/>
        <v>42450.000000871296</v>
      </c>
      <c r="G855" s="2">
        <f t="shared" si="80"/>
        <v>15282000.000313666</v>
      </c>
      <c r="H855" s="26">
        <f t="shared" si="81"/>
        <v>14682000.000313666</v>
      </c>
      <c r="I855" s="26">
        <f t="shared" si="83"/>
        <v>17999.999991463497</v>
      </c>
      <c r="J855" s="26">
        <f t="shared" si="82"/>
        <v>7662225</v>
      </c>
      <c r="K855" s="2">
        <f t="shared" si="78"/>
        <v>7019775.0003136657</v>
      </c>
    </row>
    <row r="856" spans="5:11" x14ac:dyDescent="0.25">
      <c r="E856">
        <v>0.85</v>
      </c>
      <c r="F856" s="2">
        <f t="shared" si="79"/>
        <v>42500.000000848224</v>
      </c>
      <c r="G856" s="2">
        <f t="shared" si="80"/>
        <v>15300000.00030536</v>
      </c>
      <c r="H856" s="26">
        <f t="shared" si="81"/>
        <v>14700000.00030536</v>
      </c>
      <c r="I856" s="26">
        <f t="shared" si="83"/>
        <v>17999.999991694465</v>
      </c>
      <c r="J856" s="26">
        <f t="shared" si="82"/>
        <v>7671250</v>
      </c>
      <c r="K856" s="2">
        <f t="shared" si="78"/>
        <v>7028750.0003053602</v>
      </c>
    </row>
    <row r="857" spans="5:11" x14ac:dyDescent="0.25">
      <c r="E857">
        <v>0.85099999999999998</v>
      </c>
      <c r="F857" s="2">
        <f t="shared" si="79"/>
        <v>42550.00000082577</v>
      </c>
      <c r="G857" s="2">
        <f t="shared" si="80"/>
        <v>15318000.000297278</v>
      </c>
      <c r="H857" s="26">
        <f t="shared" si="81"/>
        <v>14718000.000297278</v>
      </c>
      <c r="I857" s="26">
        <f t="shared" si="83"/>
        <v>17999.999991917983</v>
      </c>
      <c r="J857" s="26">
        <f t="shared" si="82"/>
        <v>7680275</v>
      </c>
      <c r="K857" s="2">
        <f t="shared" si="78"/>
        <v>7037725.0002972782</v>
      </c>
    </row>
    <row r="858" spans="5:11" x14ac:dyDescent="0.25">
      <c r="E858">
        <v>0.85199999999999998</v>
      </c>
      <c r="F858" s="2">
        <f t="shared" si="79"/>
        <v>42600.000000803891</v>
      </c>
      <c r="G858" s="2">
        <f t="shared" si="80"/>
        <v>15336000.000289401</v>
      </c>
      <c r="H858" s="26">
        <f t="shared" si="81"/>
        <v>14736000.000289401</v>
      </c>
      <c r="I858" s="26">
        <f t="shared" si="83"/>
        <v>17999.999992122874</v>
      </c>
      <c r="J858" s="26">
        <f t="shared" si="82"/>
        <v>7689300</v>
      </c>
      <c r="K858" s="2">
        <f t="shared" si="78"/>
        <v>7046700.000289401</v>
      </c>
    </row>
    <row r="859" spans="5:11" x14ac:dyDescent="0.25">
      <c r="E859">
        <v>0.85299999999999998</v>
      </c>
      <c r="F859" s="2">
        <f t="shared" si="79"/>
        <v>42650.000000782609</v>
      </c>
      <c r="G859" s="2">
        <f t="shared" si="80"/>
        <v>15354000.00028174</v>
      </c>
      <c r="H859" s="26">
        <f t="shared" si="81"/>
        <v>14754000.00028174</v>
      </c>
      <c r="I859" s="26">
        <f t="shared" si="83"/>
        <v>17999.999992338941</v>
      </c>
      <c r="J859" s="26">
        <f t="shared" si="82"/>
        <v>7698325</v>
      </c>
      <c r="K859" s="2">
        <f t="shared" si="78"/>
        <v>7055675.00028174</v>
      </c>
    </row>
    <row r="860" spans="5:11" x14ac:dyDescent="0.25">
      <c r="E860">
        <v>0.85399999999999998</v>
      </c>
      <c r="F860" s="2">
        <f t="shared" si="79"/>
        <v>42700.000000761887</v>
      </c>
      <c r="G860" s="2">
        <f t="shared" si="80"/>
        <v>15372000.00027428</v>
      </c>
      <c r="H860" s="26">
        <f t="shared" si="81"/>
        <v>14772000.00027428</v>
      </c>
      <c r="I860" s="26">
        <f t="shared" si="83"/>
        <v>17999.999992540106</v>
      </c>
      <c r="J860" s="26">
        <f t="shared" si="82"/>
        <v>7707350</v>
      </c>
      <c r="K860" s="2">
        <f t="shared" si="78"/>
        <v>7064650.0002742801</v>
      </c>
    </row>
    <row r="861" spans="5:11" x14ac:dyDescent="0.25">
      <c r="E861">
        <v>0.85499999999999998</v>
      </c>
      <c r="F861" s="2">
        <f t="shared" si="79"/>
        <v>42750.000000741704</v>
      </c>
      <c r="G861" s="2">
        <f t="shared" si="80"/>
        <v>15390000.000267014</v>
      </c>
      <c r="H861" s="26">
        <f t="shared" si="81"/>
        <v>14790000.000267014</v>
      </c>
      <c r="I861" s="26">
        <f t="shared" si="83"/>
        <v>17999.999992733821</v>
      </c>
      <c r="J861" s="26">
        <f t="shared" si="82"/>
        <v>7716375</v>
      </c>
      <c r="K861" s="2">
        <f t="shared" si="78"/>
        <v>7073625.0002670139</v>
      </c>
    </row>
    <row r="862" spans="5:11" x14ac:dyDescent="0.25">
      <c r="E862">
        <v>0.85599999999999998</v>
      </c>
      <c r="F862" s="2">
        <f t="shared" si="79"/>
        <v>42800.000000722073</v>
      </c>
      <c r="G862" s="2">
        <f t="shared" si="80"/>
        <v>15408000.000259947</v>
      </c>
      <c r="H862" s="26">
        <f t="shared" si="81"/>
        <v>14808000.000259947</v>
      </c>
      <c r="I862" s="26">
        <f t="shared" si="83"/>
        <v>17999.999992933124</v>
      </c>
      <c r="J862" s="26">
        <f t="shared" si="82"/>
        <v>7725400</v>
      </c>
      <c r="K862" s="2">
        <f t="shared" si="78"/>
        <v>7082600.000259947</v>
      </c>
    </row>
    <row r="863" spans="5:11" x14ac:dyDescent="0.25">
      <c r="E863">
        <v>0.85699999999999998</v>
      </c>
      <c r="F863" s="2">
        <f t="shared" si="79"/>
        <v>42850.000000702959</v>
      </c>
      <c r="G863" s="2">
        <f t="shared" si="80"/>
        <v>15426000.000253065</v>
      </c>
      <c r="H863" s="26">
        <f t="shared" si="81"/>
        <v>14826000.000253065</v>
      </c>
      <c r="I863" s="26">
        <f t="shared" si="83"/>
        <v>17999.999993117526</v>
      </c>
      <c r="J863" s="26">
        <f t="shared" si="82"/>
        <v>7734425</v>
      </c>
      <c r="K863" s="2">
        <f t="shared" si="78"/>
        <v>7091575.0002530646</v>
      </c>
    </row>
    <row r="864" spans="5:11" x14ac:dyDescent="0.25">
      <c r="E864">
        <v>0.85799999999999998</v>
      </c>
      <c r="F864" s="2">
        <f t="shared" si="79"/>
        <v>42900.00000068434</v>
      </c>
      <c r="G864" s="2">
        <f t="shared" si="80"/>
        <v>15444000.000246363</v>
      </c>
      <c r="H864" s="26">
        <f t="shared" si="81"/>
        <v>14844000.000246363</v>
      </c>
      <c r="I864" s="26">
        <f t="shared" si="83"/>
        <v>17999.999993298203</v>
      </c>
      <c r="J864" s="26">
        <f t="shared" si="82"/>
        <v>7743450</v>
      </c>
      <c r="K864" s="2">
        <f t="shared" si="78"/>
        <v>7100550.0002463628</v>
      </c>
    </row>
    <row r="865" spans="5:11" x14ac:dyDescent="0.25">
      <c r="E865">
        <v>0.85899999999999999</v>
      </c>
      <c r="F865" s="2">
        <f t="shared" si="79"/>
        <v>42950.000000666223</v>
      </c>
      <c r="G865" s="2">
        <f t="shared" si="80"/>
        <v>15462000.00023984</v>
      </c>
      <c r="H865" s="26">
        <f t="shared" si="81"/>
        <v>14862000.00023984</v>
      </c>
      <c r="I865" s="26">
        <f t="shared" si="83"/>
        <v>17999.999993477017</v>
      </c>
      <c r="J865" s="26">
        <f t="shared" si="82"/>
        <v>7752475</v>
      </c>
      <c r="K865" s="2">
        <f t="shared" si="78"/>
        <v>7109525.0002398398</v>
      </c>
    </row>
    <row r="866" spans="5:11" x14ac:dyDescent="0.25">
      <c r="E866">
        <v>0.86</v>
      </c>
      <c r="F866" s="2">
        <f t="shared" si="79"/>
        <v>43000.000000648586</v>
      </c>
      <c r="G866" s="2">
        <f t="shared" si="80"/>
        <v>15480000.000233492</v>
      </c>
      <c r="H866" s="26">
        <f t="shared" si="81"/>
        <v>14880000.000233492</v>
      </c>
      <c r="I866" s="26">
        <f t="shared" si="83"/>
        <v>17999.999993652105</v>
      </c>
      <c r="J866" s="26">
        <f t="shared" si="82"/>
        <v>7761500</v>
      </c>
      <c r="K866" s="2">
        <f t="shared" si="78"/>
        <v>7118500.0002334919</v>
      </c>
    </row>
    <row r="867" spans="5:11" x14ac:dyDescent="0.25">
      <c r="E867">
        <v>0.86099999999999999</v>
      </c>
      <c r="F867" s="2">
        <f t="shared" si="79"/>
        <v>43050.000000631408</v>
      </c>
      <c r="G867" s="2">
        <f t="shared" si="80"/>
        <v>15498000.000227306</v>
      </c>
      <c r="H867" s="26">
        <f t="shared" si="81"/>
        <v>14898000.000227306</v>
      </c>
      <c r="I867" s="26">
        <f t="shared" si="83"/>
        <v>17999.999993814155</v>
      </c>
      <c r="J867" s="26">
        <f t="shared" si="82"/>
        <v>7770525</v>
      </c>
      <c r="K867" s="2">
        <f t="shared" si="78"/>
        <v>7127475.000227306</v>
      </c>
    </row>
    <row r="868" spans="5:11" x14ac:dyDescent="0.25">
      <c r="E868">
        <v>0.86199999999999999</v>
      </c>
      <c r="F868" s="2">
        <f t="shared" si="79"/>
        <v>43100.000000614702</v>
      </c>
      <c r="G868" s="2">
        <f t="shared" si="80"/>
        <v>15516000.000221293</v>
      </c>
      <c r="H868" s="26">
        <f t="shared" si="81"/>
        <v>14916000.000221293</v>
      </c>
      <c r="I868" s="26">
        <f t="shared" si="83"/>
        <v>17999.999993987381</v>
      </c>
      <c r="J868" s="26">
        <f t="shared" si="82"/>
        <v>7779550</v>
      </c>
      <c r="K868" s="2">
        <f t="shared" si="78"/>
        <v>7136450.0002212934</v>
      </c>
    </row>
    <row r="869" spans="5:11" x14ac:dyDescent="0.25">
      <c r="E869">
        <v>0.86299999999999999</v>
      </c>
      <c r="F869" s="2">
        <f t="shared" si="79"/>
        <v>43150.000000598433</v>
      </c>
      <c r="G869" s="2">
        <f t="shared" si="80"/>
        <v>15534000.000215435</v>
      </c>
      <c r="H869" s="26">
        <f t="shared" si="81"/>
        <v>14934000.000215435</v>
      </c>
      <c r="I869" s="26">
        <f t="shared" si="83"/>
        <v>17999.999994141981</v>
      </c>
      <c r="J869" s="26">
        <f t="shared" si="82"/>
        <v>7788575</v>
      </c>
      <c r="K869" s="2">
        <f t="shared" si="78"/>
        <v>7145425.0002154354</v>
      </c>
    </row>
    <row r="870" spans="5:11" x14ac:dyDescent="0.25">
      <c r="E870">
        <v>0.86399999999999999</v>
      </c>
      <c r="F870" s="2">
        <f t="shared" si="79"/>
        <v>43200.000000582579</v>
      </c>
      <c r="G870" s="2">
        <f t="shared" si="80"/>
        <v>15552000.000209728</v>
      </c>
      <c r="H870" s="26">
        <f t="shared" si="81"/>
        <v>14952000.000209728</v>
      </c>
      <c r="I870" s="26">
        <f t="shared" si="83"/>
        <v>17999.999994292855</v>
      </c>
      <c r="J870" s="26">
        <f t="shared" si="82"/>
        <v>7797600</v>
      </c>
      <c r="K870" s="2">
        <f t="shared" si="78"/>
        <v>7154400.0002097283</v>
      </c>
    </row>
    <row r="871" spans="5:11" x14ac:dyDescent="0.25">
      <c r="E871">
        <v>0.86499999999999999</v>
      </c>
      <c r="F871" s="2">
        <f t="shared" si="79"/>
        <v>43250.000000567161</v>
      </c>
      <c r="G871" s="2">
        <f t="shared" si="80"/>
        <v>15570000.000204178</v>
      </c>
      <c r="H871" s="26">
        <f t="shared" si="81"/>
        <v>14970000.000204178</v>
      </c>
      <c r="I871" s="26">
        <f t="shared" si="83"/>
        <v>17999.999994449317</v>
      </c>
      <c r="J871" s="26">
        <f t="shared" si="82"/>
        <v>7806625</v>
      </c>
      <c r="K871" s="2">
        <f t="shared" si="78"/>
        <v>7163375.0002041776</v>
      </c>
    </row>
    <row r="872" spans="5:11" x14ac:dyDescent="0.25">
      <c r="E872">
        <v>0.86599999999999999</v>
      </c>
      <c r="F872" s="2">
        <f t="shared" si="79"/>
        <v>43300.000000552151</v>
      </c>
      <c r="G872" s="2">
        <f t="shared" si="80"/>
        <v>15588000.000198774</v>
      </c>
      <c r="H872" s="26">
        <f t="shared" si="81"/>
        <v>14988000.000198774</v>
      </c>
      <c r="I872" s="26">
        <f t="shared" si="83"/>
        <v>17999.999994596466</v>
      </c>
      <c r="J872" s="26">
        <f t="shared" si="82"/>
        <v>7815650</v>
      </c>
      <c r="K872" s="2">
        <f t="shared" si="78"/>
        <v>7172350.000198774</v>
      </c>
    </row>
    <row r="873" spans="5:11" x14ac:dyDescent="0.25">
      <c r="E873">
        <v>0.86699999999999999</v>
      </c>
      <c r="F873" s="2">
        <f t="shared" si="79"/>
        <v>43350.000000537533</v>
      </c>
      <c r="G873" s="2">
        <f t="shared" si="80"/>
        <v>15606000.000193512</v>
      </c>
      <c r="H873" s="26">
        <f t="shared" si="81"/>
        <v>15006000.000193512</v>
      </c>
      <c r="I873" s="26">
        <f t="shared" si="83"/>
        <v>17999.999994738027</v>
      </c>
      <c r="J873" s="26">
        <f t="shared" si="82"/>
        <v>7824675</v>
      </c>
      <c r="K873" s="2">
        <f t="shared" si="78"/>
        <v>7181325.0001935121</v>
      </c>
    </row>
    <row r="874" spans="5:11" x14ac:dyDescent="0.25">
      <c r="E874">
        <v>0.86799999999999999</v>
      </c>
      <c r="F874" s="2">
        <f t="shared" si="79"/>
        <v>43400.000000523301</v>
      </c>
      <c r="G874" s="2">
        <f t="shared" si="80"/>
        <v>15624000.000188388</v>
      </c>
      <c r="H874" s="26">
        <f t="shared" si="81"/>
        <v>15024000.000188388</v>
      </c>
      <c r="I874" s="26">
        <f t="shared" si="83"/>
        <v>17999.999994875863</v>
      </c>
      <c r="J874" s="26">
        <f t="shared" si="82"/>
        <v>7833700</v>
      </c>
      <c r="K874" s="2">
        <f t="shared" si="78"/>
        <v>7190300.0001883879</v>
      </c>
    </row>
    <row r="875" spans="5:11" x14ac:dyDescent="0.25">
      <c r="E875">
        <v>0.86899999999999999</v>
      </c>
      <c r="F875" s="2">
        <f t="shared" si="79"/>
        <v>43450.000000509463</v>
      </c>
      <c r="G875" s="2">
        <f t="shared" si="80"/>
        <v>15642000.000183407</v>
      </c>
      <c r="H875" s="26">
        <f t="shared" si="81"/>
        <v>15042000.000183407</v>
      </c>
      <c r="I875" s="26">
        <f t="shared" si="83"/>
        <v>17999.999995019287</v>
      </c>
      <c r="J875" s="26">
        <f t="shared" si="82"/>
        <v>7842725</v>
      </c>
      <c r="K875" s="2">
        <f t="shared" si="78"/>
        <v>7199275.0001834072</v>
      </c>
    </row>
    <row r="876" spans="5:11" x14ac:dyDescent="0.25">
      <c r="E876">
        <v>0.87</v>
      </c>
      <c r="F876" s="2">
        <f t="shared" si="79"/>
        <v>43500.000000495973</v>
      </c>
      <c r="G876" s="2">
        <f t="shared" si="80"/>
        <v>15660000.000178549</v>
      </c>
      <c r="H876" s="26">
        <f t="shared" si="81"/>
        <v>15060000.000178549</v>
      </c>
      <c r="I876" s="26">
        <f t="shared" si="83"/>
        <v>17999.999995142221</v>
      </c>
      <c r="J876" s="26">
        <f t="shared" si="82"/>
        <v>7851750</v>
      </c>
      <c r="K876" s="2">
        <f t="shared" si="78"/>
        <v>7208250.0001785494</v>
      </c>
    </row>
    <row r="877" spans="5:11" x14ac:dyDescent="0.25">
      <c r="E877">
        <v>0.871</v>
      </c>
      <c r="F877" s="2">
        <f t="shared" si="79"/>
        <v>43550.000000482847</v>
      </c>
      <c r="G877" s="2">
        <f t="shared" si="80"/>
        <v>15678000.000173826</v>
      </c>
      <c r="H877" s="26">
        <f t="shared" si="81"/>
        <v>15078000.000173826</v>
      </c>
      <c r="I877" s="26">
        <f t="shared" si="83"/>
        <v>17999.999995276332</v>
      </c>
      <c r="J877" s="26">
        <f t="shared" si="82"/>
        <v>7860775</v>
      </c>
      <c r="K877" s="2">
        <f t="shared" si="78"/>
        <v>7217225.0001738258</v>
      </c>
    </row>
    <row r="878" spans="5:11" x14ac:dyDescent="0.25">
      <c r="E878">
        <v>0.872</v>
      </c>
      <c r="F878" s="2">
        <f t="shared" si="79"/>
        <v>43600.000000470071</v>
      </c>
      <c r="G878" s="2">
        <f t="shared" si="80"/>
        <v>15696000.000169225</v>
      </c>
      <c r="H878" s="26">
        <f t="shared" si="81"/>
        <v>15096000.000169225</v>
      </c>
      <c r="I878" s="26">
        <f t="shared" si="83"/>
        <v>17999.999995399266</v>
      </c>
      <c r="J878" s="26">
        <f t="shared" si="82"/>
        <v>7869800</v>
      </c>
      <c r="K878" s="2">
        <f t="shared" si="78"/>
        <v>7226200.000169225</v>
      </c>
    </row>
    <row r="879" spans="5:11" x14ac:dyDescent="0.25">
      <c r="E879">
        <v>0.873</v>
      </c>
      <c r="F879" s="2">
        <f t="shared" si="79"/>
        <v>43650.000000457621</v>
      </c>
      <c r="G879" s="2">
        <f t="shared" si="80"/>
        <v>15714000.000164744</v>
      </c>
      <c r="H879" s="26">
        <f t="shared" si="81"/>
        <v>15114000.000164744</v>
      </c>
      <c r="I879" s="26">
        <f t="shared" si="83"/>
        <v>17999.999995518476</v>
      </c>
      <c r="J879" s="26">
        <f t="shared" si="82"/>
        <v>7878825</v>
      </c>
      <c r="K879" s="2">
        <f t="shared" si="78"/>
        <v>7235175.0001647435</v>
      </c>
    </row>
    <row r="880" spans="5:11" x14ac:dyDescent="0.25">
      <c r="E880">
        <v>0.874</v>
      </c>
      <c r="F880" s="2">
        <f t="shared" si="79"/>
        <v>43700.000000445514</v>
      </c>
      <c r="G880" s="2">
        <f t="shared" si="80"/>
        <v>15732000.000160385</v>
      </c>
      <c r="H880" s="26">
        <f t="shared" si="81"/>
        <v>15132000.000160385</v>
      </c>
      <c r="I880" s="26">
        <f t="shared" si="83"/>
        <v>17999.99999564141</v>
      </c>
      <c r="J880" s="26">
        <f t="shared" si="82"/>
        <v>7887850</v>
      </c>
      <c r="K880" s="2">
        <f t="shared" si="78"/>
        <v>7244150.0001603849</v>
      </c>
    </row>
    <row r="881" spans="5:11" x14ac:dyDescent="0.25">
      <c r="E881">
        <v>0.875</v>
      </c>
      <c r="F881" s="2">
        <f t="shared" si="79"/>
        <v>43750.000000433734</v>
      </c>
      <c r="G881" s="2">
        <f t="shared" si="80"/>
        <v>15750000.000156144</v>
      </c>
      <c r="H881" s="26">
        <f t="shared" si="81"/>
        <v>15150000.000156144</v>
      </c>
      <c r="I881" s="26">
        <f t="shared" si="83"/>
        <v>17999.999995758757</v>
      </c>
      <c r="J881" s="26">
        <f t="shared" si="82"/>
        <v>7896875</v>
      </c>
      <c r="K881" s="2">
        <f t="shared" si="78"/>
        <v>7253125.0001561437</v>
      </c>
    </row>
    <row r="882" spans="5:11" x14ac:dyDescent="0.25">
      <c r="E882">
        <v>0.876</v>
      </c>
      <c r="F882" s="2">
        <f t="shared" si="79"/>
        <v>43800.000000422253</v>
      </c>
      <c r="G882" s="2">
        <f t="shared" si="80"/>
        <v>15768000.00015201</v>
      </c>
      <c r="H882" s="26">
        <f t="shared" si="81"/>
        <v>15168000.00015201</v>
      </c>
      <c r="I882" s="26">
        <f t="shared" si="83"/>
        <v>17999.99999586679</v>
      </c>
      <c r="J882" s="26">
        <f t="shared" si="82"/>
        <v>7905900</v>
      </c>
      <c r="K882" s="2">
        <f t="shared" si="78"/>
        <v>7262100.0001520105</v>
      </c>
    </row>
    <row r="883" spans="5:11" x14ac:dyDescent="0.25">
      <c r="E883">
        <v>0.877</v>
      </c>
      <c r="F883" s="2">
        <f t="shared" si="79"/>
        <v>43850.000000411084</v>
      </c>
      <c r="G883" s="2">
        <f t="shared" si="80"/>
        <v>15786000.000147991</v>
      </c>
      <c r="H883" s="26">
        <f t="shared" si="81"/>
        <v>15186000.000147991</v>
      </c>
      <c r="I883" s="26">
        <f t="shared" si="83"/>
        <v>17999.999995980412</v>
      </c>
      <c r="J883" s="26">
        <f t="shared" si="82"/>
        <v>7914925</v>
      </c>
      <c r="K883" s="2">
        <f t="shared" si="78"/>
        <v>7271075.0001479909</v>
      </c>
    </row>
    <row r="884" spans="5:11" x14ac:dyDescent="0.25">
      <c r="E884">
        <v>0.878</v>
      </c>
      <c r="F884" s="2">
        <f t="shared" si="79"/>
        <v>43900.000000400207</v>
      </c>
      <c r="G884" s="2">
        <f t="shared" si="80"/>
        <v>15804000.000144074</v>
      </c>
      <c r="H884" s="26">
        <f t="shared" si="81"/>
        <v>15204000.000144074</v>
      </c>
      <c r="I884" s="26">
        <f t="shared" si="83"/>
        <v>17999.999996082857</v>
      </c>
      <c r="J884" s="26">
        <f t="shared" si="82"/>
        <v>7923950</v>
      </c>
      <c r="K884" s="2">
        <f t="shared" si="78"/>
        <v>7280050.0001440737</v>
      </c>
    </row>
    <row r="885" spans="5:11" x14ac:dyDescent="0.25">
      <c r="E885">
        <v>0.879</v>
      </c>
      <c r="F885" s="2">
        <f t="shared" si="79"/>
        <v>43950.000000389613</v>
      </c>
      <c r="G885" s="2">
        <f t="shared" si="80"/>
        <v>15822000.000140261</v>
      </c>
      <c r="H885" s="26">
        <f t="shared" si="81"/>
        <v>15222000.000140261</v>
      </c>
      <c r="I885" s="26">
        <f t="shared" si="83"/>
        <v>17999.999996187165</v>
      </c>
      <c r="J885" s="26">
        <f t="shared" si="82"/>
        <v>7932975</v>
      </c>
      <c r="K885" s="2">
        <f t="shared" si="78"/>
        <v>7289025.0001402609</v>
      </c>
    </row>
    <row r="886" spans="5:11" x14ac:dyDescent="0.25">
      <c r="E886">
        <v>0.88</v>
      </c>
      <c r="F886" s="2">
        <f t="shared" si="79"/>
        <v>44000.00000037931</v>
      </c>
      <c r="G886" s="2">
        <f t="shared" si="80"/>
        <v>15840000.000136552</v>
      </c>
      <c r="H886" s="26">
        <f t="shared" si="81"/>
        <v>15240000.000136552</v>
      </c>
      <c r="I886" s="26">
        <f t="shared" si="83"/>
        <v>17999.999996291474</v>
      </c>
      <c r="J886" s="26">
        <f t="shared" si="82"/>
        <v>7942000</v>
      </c>
      <c r="K886" s="2">
        <f t="shared" si="78"/>
        <v>7298000.0001365524</v>
      </c>
    </row>
    <row r="887" spans="5:11" x14ac:dyDescent="0.25">
      <c r="E887">
        <v>0.88100000000000001</v>
      </c>
      <c r="F887" s="2">
        <f t="shared" si="79"/>
        <v>44050.000000369269</v>
      </c>
      <c r="G887" s="2">
        <f t="shared" si="80"/>
        <v>15858000.000132937</v>
      </c>
      <c r="H887" s="26">
        <f t="shared" si="81"/>
        <v>15258000.000132937</v>
      </c>
      <c r="I887" s="26">
        <f t="shared" si="83"/>
        <v>17999.999996384606</v>
      </c>
      <c r="J887" s="26">
        <f t="shared" si="82"/>
        <v>7951025</v>
      </c>
      <c r="K887" s="2">
        <f t="shared" si="78"/>
        <v>7306975.000132937</v>
      </c>
    </row>
    <row r="888" spans="5:11" x14ac:dyDescent="0.25">
      <c r="E888">
        <v>0.88200000000000001</v>
      </c>
      <c r="F888" s="2">
        <f t="shared" si="79"/>
        <v>44100.000000359498</v>
      </c>
      <c r="G888" s="2">
        <f t="shared" si="80"/>
        <v>15876000.000129418</v>
      </c>
      <c r="H888" s="26">
        <f t="shared" si="81"/>
        <v>15276000.000129418</v>
      </c>
      <c r="I888" s="26">
        <f t="shared" si="83"/>
        <v>17999.999996481463</v>
      </c>
      <c r="J888" s="26">
        <f t="shared" si="82"/>
        <v>7960050</v>
      </c>
      <c r="K888" s="2">
        <f t="shared" si="78"/>
        <v>7315950.0001294184</v>
      </c>
    </row>
    <row r="889" spans="5:11" x14ac:dyDescent="0.25">
      <c r="E889">
        <v>0.88300000000000001</v>
      </c>
      <c r="F889" s="2">
        <f t="shared" si="79"/>
        <v>44150.000000349988</v>
      </c>
      <c r="G889" s="2">
        <f t="shared" si="80"/>
        <v>15894000.000125995</v>
      </c>
      <c r="H889" s="26">
        <f t="shared" si="81"/>
        <v>15294000.000125995</v>
      </c>
      <c r="I889" s="26">
        <f t="shared" si="83"/>
        <v>17999.999996576458</v>
      </c>
      <c r="J889" s="26">
        <f t="shared" si="82"/>
        <v>7969075</v>
      </c>
      <c r="K889" s="2">
        <f t="shared" si="78"/>
        <v>7324925.0001259949</v>
      </c>
    </row>
    <row r="890" spans="5:11" x14ac:dyDescent="0.25">
      <c r="E890">
        <v>0.88400000000000001</v>
      </c>
      <c r="F890" s="2">
        <f t="shared" si="79"/>
        <v>44200.000000340733</v>
      </c>
      <c r="G890" s="2">
        <f t="shared" si="80"/>
        <v>15912000.000122664</v>
      </c>
      <c r="H890" s="26">
        <f t="shared" si="81"/>
        <v>15312000.000122664</v>
      </c>
      <c r="I890" s="26">
        <f t="shared" si="83"/>
        <v>17999.99999666959</v>
      </c>
      <c r="J890" s="26">
        <f t="shared" si="82"/>
        <v>7978100</v>
      </c>
      <c r="K890" s="2">
        <f t="shared" si="78"/>
        <v>7333900.0001226645</v>
      </c>
    </row>
    <row r="891" spans="5:11" x14ac:dyDescent="0.25">
      <c r="E891">
        <v>0.88500000000000001</v>
      </c>
      <c r="F891" s="2">
        <f t="shared" si="79"/>
        <v>44250.000000331711</v>
      </c>
      <c r="G891" s="2">
        <f t="shared" si="80"/>
        <v>15930000.000119416</v>
      </c>
      <c r="H891" s="26">
        <f t="shared" si="81"/>
        <v>15330000.000119416</v>
      </c>
      <c r="I891" s="26">
        <f t="shared" si="83"/>
        <v>17999.999996751547</v>
      </c>
      <c r="J891" s="26">
        <f t="shared" si="82"/>
        <v>7987125</v>
      </c>
      <c r="K891" s="2">
        <f t="shared" si="78"/>
        <v>7342875.000119416</v>
      </c>
    </row>
    <row r="892" spans="5:11" x14ac:dyDescent="0.25">
      <c r="E892">
        <v>0.88600000000000001</v>
      </c>
      <c r="F892" s="2">
        <f t="shared" si="79"/>
        <v>44300.000000322943</v>
      </c>
      <c r="G892" s="2">
        <f t="shared" si="80"/>
        <v>15948000.000116259</v>
      </c>
      <c r="H892" s="26">
        <f t="shared" si="81"/>
        <v>15348000.000116259</v>
      </c>
      <c r="I892" s="26">
        <f t="shared" si="83"/>
        <v>17999.999996842816</v>
      </c>
      <c r="J892" s="26">
        <f t="shared" si="82"/>
        <v>7996150</v>
      </c>
      <c r="K892" s="2">
        <f t="shared" si="78"/>
        <v>7351850.0001162589</v>
      </c>
    </row>
    <row r="893" spans="5:11" x14ac:dyDescent="0.25">
      <c r="E893">
        <v>0.88700000000000001</v>
      </c>
      <c r="F893" s="2">
        <f t="shared" si="79"/>
        <v>44350.000000314409</v>
      </c>
      <c r="G893" s="2">
        <f t="shared" si="80"/>
        <v>15966000.000113187</v>
      </c>
      <c r="H893" s="26">
        <f t="shared" si="81"/>
        <v>15366000.000113187</v>
      </c>
      <c r="I893" s="26">
        <f t="shared" si="83"/>
        <v>17999.999996928498</v>
      </c>
      <c r="J893" s="26">
        <f t="shared" si="82"/>
        <v>8005175</v>
      </c>
      <c r="K893" s="2">
        <f t="shared" si="78"/>
        <v>7360825.0001131874</v>
      </c>
    </row>
    <row r="894" spans="5:11" x14ac:dyDescent="0.25">
      <c r="E894">
        <v>0.88800000000000001</v>
      </c>
      <c r="F894" s="2">
        <f t="shared" si="79"/>
        <v>44400.000000306078</v>
      </c>
      <c r="G894" s="2">
        <f t="shared" si="80"/>
        <v>15984000.000110188</v>
      </c>
      <c r="H894" s="26">
        <f t="shared" si="81"/>
        <v>15384000.000110188</v>
      </c>
      <c r="I894" s="26">
        <f t="shared" si="83"/>
        <v>17999.999997001141</v>
      </c>
      <c r="J894" s="26">
        <f t="shared" si="82"/>
        <v>8014200</v>
      </c>
      <c r="K894" s="2">
        <f t="shared" si="78"/>
        <v>7369800.0001101885</v>
      </c>
    </row>
    <row r="895" spans="5:11" x14ac:dyDescent="0.25">
      <c r="E895">
        <v>0.88900000000000001</v>
      </c>
      <c r="F895" s="2">
        <f t="shared" si="79"/>
        <v>44450.000000297987</v>
      </c>
      <c r="G895" s="2">
        <f t="shared" si="80"/>
        <v>16002000.000107275</v>
      </c>
      <c r="H895" s="26">
        <f t="shared" si="81"/>
        <v>15402000.000107275</v>
      </c>
      <c r="I895" s="26">
        <f t="shared" si="83"/>
        <v>17999.999997086823</v>
      </c>
      <c r="J895" s="26">
        <f t="shared" si="82"/>
        <v>8023225</v>
      </c>
      <c r="K895" s="2">
        <f t="shared" si="78"/>
        <v>7378775.0001072753</v>
      </c>
    </row>
    <row r="896" spans="5:11" x14ac:dyDescent="0.25">
      <c r="E896">
        <v>0.89</v>
      </c>
      <c r="F896" s="2">
        <f t="shared" si="79"/>
        <v>44500.000000290107</v>
      </c>
      <c r="G896" s="2">
        <f t="shared" si="80"/>
        <v>16020000.000104439</v>
      </c>
      <c r="H896" s="26">
        <f t="shared" si="81"/>
        <v>15420000.000104439</v>
      </c>
      <c r="I896" s="26">
        <f t="shared" si="83"/>
        <v>17999.999997163191</v>
      </c>
      <c r="J896" s="26">
        <f t="shared" si="82"/>
        <v>8032250</v>
      </c>
      <c r="K896" s="2">
        <f t="shared" si="78"/>
        <v>7387750.0001044385</v>
      </c>
    </row>
    <row r="897" spans="5:11" x14ac:dyDescent="0.25">
      <c r="E897">
        <v>0.89100000000000001</v>
      </c>
      <c r="F897" s="2">
        <f t="shared" si="79"/>
        <v>44550.000000282438</v>
      </c>
      <c r="G897" s="2">
        <f t="shared" si="80"/>
        <v>16038000.000101678</v>
      </c>
      <c r="H897" s="26">
        <f t="shared" si="81"/>
        <v>15438000.000101678</v>
      </c>
      <c r="I897" s="26">
        <f t="shared" si="83"/>
        <v>17999.99999723956</v>
      </c>
      <c r="J897" s="26">
        <f t="shared" si="82"/>
        <v>8041275</v>
      </c>
      <c r="K897" s="2">
        <f t="shared" si="78"/>
        <v>7396725.0001016781</v>
      </c>
    </row>
    <row r="898" spans="5:11" x14ac:dyDescent="0.25">
      <c r="E898">
        <v>0.89200000000000002</v>
      </c>
      <c r="F898" s="2">
        <f t="shared" si="79"/>
        <v>44600.000000274966</v>
      </c>
      <c r="G898" s="2">
        <f t="shared" si="80"/>
        <v>16056000.000098988</v>
      </c>
      <c r="H898" s="26">
        <f t="shared" si="81"/>
        <v>15456000.000098988</v>
      </c>
      <c r="I898" s="26">
        <f t="shared" si="83"/>
        <v>17999.99999731034</v>
      </c>
      <c r="J898" s="26">
        <f t="shared" si="82"/>
        <v>8050300</v>
      </c>
      <c r="K898" s="2">
        <f t="shared" si="78"/>
        <v>7405700.0000989884</v>
      </c>
    </row>
    <row r="899" spans="5:11" x14ac:dyDescent="0.25">
      <c r="E899">
        <v>0.89300000000000002</v>
      </c>
      <c r="F899" s="2">
        <f t="shared" si="79"/>
        <v>44650.000000267697</v>
      </c>
      <c r="G899" s="2">
        <f t="shared" si="80"/>
        <v>16074000.000096371</v>
      </c>
      <c r="H899" s="26">
        <f t="shared" si="81"/>
        <v>15474000.000096371</v>
      </c>
      <c r="I899" s="26">
        <f t="shared" si="83"/>
        <v>17999.999997382984</v>
      </c>
      <c r="J899" s="26">
        <f t="shared" si="82"/>
        <v>8059325</v>
      </c>
      <c r="K899" s="2">
        <f t="shared" si="78"/>
        <v>7414675.0000963714</v>
      </c>
    </row>
    <row r="900" spans="5:11" x14ac:dyDescent="0.25">
      <c r="E900">
        <v>0.89400000000000002</v>
      </c>
      <c r="F900" s="2">
        <f t="shared" si="79"/>
        <v>44700.00000026061</v>
      </c>
      <c r="G900" s="2">
        <f t="shared" si="80"/>
        <v>16092000.00009382</v>
      </c>
      <c r="H900" s="26">
        <f t="shared" si="81"/>
        <v>15492000.00009382</v>
      </c>
      <c r="I900" s="26">
        <f t="shared" si="83"/>
        <v>17999.999997448176</v>
      </c>
      <c r="J900" s="26">
        <f t="shared" si="82"/>
        <v>8068350</v>
      </c>
      <c r="K900" s="2">
        <f t="shared" si="78"/>
        <v>7423650.0000938196</v>
      </c>
    </row>
    <row r="901" spans="5:11" x14ac:dyDescent="0.25">
      <c r="E901">
        <v>0.89500000000000002</v>
      </c>
      <c r="F901" s="2">
        <f t="shared" si="79"/>
        <v>44750.000000253727</v>
      </c>
      <c r="G901" s="2">
        <f t="shared" si="80"/>
        <v>16110000.000091342</v>
      </c>
      <c r="H901" s="26">
        <f t="shared" si="81"/>
        <v>15510000.000091342</v>
      </c>
      <c r="I901" s="26">
        <f t="shared" si="83"/>
        <v>17999.999997522682</v>
      </c>
      <c r="J901" s="26">
        <f t="shared" si="82"/>
        <v>8077375</v>
      </c>
      <c r="K901" s="2">
        <f t="shared" si="78"/>
        <v>7432625.0000913423</v>
      </c>
    </row>
    <row r="902" spans="5:11" x14ac:dyDescent="0.25">
      <c r="E902">
        <v>0.89600000000000002</v>
      </c>
      <c r="F902" s="2">
        <f t="shared" si="79"/>
        <v>44800.000000247011</v>
      </c>
      <c r="G902" s="2">
        <f t="shared" si="80"/>
        <v>16128000.000088925</v>
      </c>
      <c r="H902" s="26">
        <f t="shared" si="81"/>
        <v>15528000.000088925</v>
      </c>
      <c r="I902" s="26">
        <f t="shared" si="83"/>
        <v>17999.999997582287</v>
      </c>
      <c r="J902" s="26">
        <f t="shared" si="82"/>
        <v>8086400</v>
      </c>
      <c r="K902" s="2">
        <f t="shared" ref="K902:K965" si="84">H902-J902</f>
        <v>7441600.0000889245</v>
      </c>
    </row>
    <row r="903" spans="5:11" x14ac:dyDescent="0.25">
      <c r="E903">
        <v>0.89700000000000002</v>
      </c>
      <c r="F903" s="2">
        <f t="shared" ref="F903:F966" si="85">PMT(E903/12,$C$7,-$C$6,0,0)</f>
        <v>44850.000000240478</v>
      </c>
      <c r="G903" s="2">
        <f t="shared" ref="G903:G966" si="86">360*F903</f>
        <v>16146000.000086572</v>
      </c>
      <c r="H903" s="26">
        <f t="shared" ref="H903:H966" si="87">360*F903-$C$6</f>
        <v>15546000.000086572</v>
      </c>
      <c r="I903" s="26">
        <f t="shared" si="83"/>
        <v>17999.999997647479</v>
      </c>
      <c r="J903" s="26">
        <f t="shared" ref="J903:J966" si="88">$C$6*E903/12*($C$7+1)/2</f>
        <v>8095425</v>
      </c>
      <c r="K903" s="2">
        <f t="shared" si="84"/>
        <v>7450575.000086572</v>
      </c>
    </row>
    <row r="904" spans="5:11" x14ac:dyDescent="0.25">
      <c r="E904">
        <v>0.89800000000000002</v>
      </c>
      <c r="F904" s="2">
        <f t="shared" si="85"/>
        <v>44900.000000234118</v>
      </c>
      <c r="G904" s="2">
        <f t="shared" si="86"/>
        <v>16164000.000084283</v>
      </c>
      <c r="H904" s="26">
        <f t="shared" si="87"/>
        <v>15564000.000084283</v>
      </c>
      <c r="I904" s="26">
        <f t="shared" si="83"/>
        <v>17999.999997710809</v>
      </c>
      <c r="J904" s="26">
        <f t="shared" si="88"/>
        <v>8104450</v>
      </c>
      <c r="K904" s="2">
        <f t="shared" si="84"/>
        <v>7459550.0000842828</v>
      </c>
    </row>
    <row r="905" spans="5:11" x14ac:dyDescent="0.25">
      <c r="E905">
        <v>0.89900000000000002</v>
      </c>
      <c r="F905" s="2">
        <f t="shared" si="85"/>
        <v>44950.000000227927</v>
      </c>
      <c r="G905" s="2">
        <f t="shared" si="86"/>
        <v>16182000.000082053</v>
      </c>
      <c r="H905" s="26">
        <f t="shared" si="87"/>
        <v>15582000.000082053</v>
      </c>
      <c r="I905" s="26">
        <f t="shared" ref="I905:I968" si="89">H905-H904</f>
        <v>17999.999997770414</v>
      </c>
      <c r="J905" s="26">
        <f t="shared" si="88"/>
        <v>8113475</v>
      </c>
      <c r="K905" s="2">
        <f t="shared" si="84"/>
        <v>7468525.0000820532</v>
      </c>
    </row>
    <row r="906" spans="5:11" x14ac:dyDescent="0.25">
      <c r="E906">
        <v>0.9</v>
      </c>
      <c r="F906" s="2">
        <f t="shared" si="85"/>
        <v>45000.000000221902</v>
      </c>
      <c r="G906" s="2">
        <f t="shared" si="86"/>
        <v>16200000.000079885</v>
      </c>
      <c r="H906" s="26">
        <f t="shared" si="87"/>
        <v>15600000.000079885</v>
      </c>
      <c r="I906" s="26">
        <f t="shared" si="89"/>
        <v>17999.999997831881</v>
      </c>
      <c r="J906" s="26">
        <f t="shared" si="88"/>
        <v>8122500</v>
      </c>
      <c r="K906" s="2">
        <f t="shared" si="84"/>
        <v>7477500.0000798851</v>
      </c>
    </row>
    <row r="907" spans="5:11" x14ac:dyDescent="0.25">
      <c r="E907">
        <v>0.90100000000000002</v>
      </c>
      <c r="F907" s="2">
        <f t="shared" si="85"/>
        <v>45050.000000216038</v>
      </c>
      <c r="G907" s="2">
        <f t="shared" si="86"/>
        <v>16218000.000077773</v>
      </c>
      <c r="H907" s="26">
        <f t="shared" si="87"/>
        <v>15618000.000077773</v>
      </c>
      <c r="I907" s="26">
        <f t="shared" si="89"/>
        <v>17999.99999788776</v>
      </c>
      <c r="J907" s="26">
        <f t="shared" si="88"/>
        <v>8131525</v>
      </c>
      <c r="K907" s="2">
        <f t="shared" si="84"/>
        <v>7486475.0000777729</v>
      </c>
    </row>
    <row r="908" spans="5:11" x14ac:dyDescent="0.25">
      <c r="E908">
        <v>0.90200000000000002</v>
      </c>
      <c r="F908" s="2">
        <f t="shared" si="85"/>
        <v>45100.000000210326</v>
      </c>
      <c r="G908" s="2">
        <f t="shared" si="86"/>
        <v>16236000.000075717</v>
      </c>
      <c r="H908" s="26">
        <f t="shared" si="87"/>
        <v>15636000.000075717</v>
      </c>
      <c r="I908" s="26">
        <f t="shared" si="89"/>
        <v>17999.99999794364</v>
      </c>
      <c r="J908" s="26">
        <f t="shared" si="88"/>
        <v>8140550</v>
      </c>
      <c r="K908" s="2">
        <f t="shared" si="84"/>
        <v>7495450.0000757165</v>
      </c>
    </row>
    <row r="909" spans="5:11" x14ac:dyDescent="0.25">
      <c r="E909">
        <v>0.90300000000000002</v>
      </c>
      <c r="F909" s="2">
        <f t="shared" si="85"/>
        <v>45150.000000204767</v>
      </c>
      <c r="G909" s="2">
        <f t="shared" si="86"/>
        <v>16254000.000073716</v>
      </c>
      <c r="H909" s="26">
        <f t="shared" si="87"/>
        <v>15654000.000073716</v>
      </c>
      <c r="I909" s="26">
        <f t="shared" si="89"/>
        <v>17999.999997999519</v>
      </c>
      <c r="J909" s="26">
        <f t="shared" si="88"/>
        <v>8149575</v>
      </c>
      <c r="K909" s="2">
        <f t="shared" si="84"/>
        <v>7504425.000073716</v>
      </c>
    </row>
    <row r="910" spans="5:11" x14ac:dyDescent="0.25">
      <c r="E910">
        <v>0.90400000000000003</v>
      </c>
      <c r="F910" s="2">
        <f t="shared" si="85"/>
        <v>45200.000000199354</v>
      </c>
      <c r="G910" s="2">
        <f t="shared" si="86"/>
        <v>16272000.000071768</v>
      </c>
      <c r="H910" s="26">
        <f t="shared" si="87"/>
        <v>15672000.000071768</v>
      </c>
      <c r="I910" s="26">
        <f t="shared" si="89"/>
        <v>17999.999998051673</v>
      </c>
      <c r="J910" s="26">
        <f t="shared" si="88"/>
        <v>8158600</v>
      </c>
      <c r="K910" s="2">
        <f t="shared" si="84"/>
        <v>7513400.0000717677</v>
      </c>
    </row>
    <row r="911" spans="5:11" x14ac:dyDescent="0.25">
      <c r="E911">
        <v>0.90500000000000003</v>
      </c>
      <c r="F911" s="2">
        <f t="shared" si="85"/>
        <v>45250.000000194086</v>
      </c>
      <c r="G911" s="2">
        <f t="shared" si="86"/>
        <v>16290000.000069872</v>
      </c>
      <c r="H911" s="26">
        <f t="shared" si="87"/>
        <v>15690000.000069872</v>
      </c>
      <c r="I911" s="26">
        <f t="shared" si="89"/>
        <v>17999.999998103827</v>
      </c>
      <c r="J911" s="26">
        <f t="shared" si="88"/>
        <v>8167625</v>
      </c>
      <c r="K911" s="2">
        <f t="shared" si="84"/>
        <v>7522375.0000698715</v>
      </c>
    </row>
    <row r="912" spans="5:11" x14ac:dyDescent="0.25">
      <c r="E912">
        <v>0.90600000000000003</v>
      </c>
      <c r="F912" s="2">
        <f t="shared" si="85"/>
        <v>45300.000000188949</v>
      </c>
      <c r="G912" s="2">
        <f t="shared" si="86"/>
        <v>16308000.000068022</v>
      </c>
      <c r="H912" s="26">
        <f t="shared" si="87"/>
        <v>15708000.000068022</v>
      </c>
      <c r="I912" s="26">
        <f t="shared" si="89"/>
        <v>17999.999998150393</v>
      </c>
      <c r="J912" s="26">
        <f t="shared" si="88"/>
        <v>8176650</v>
      </c>
      <c r="K912" s="2">
        <f t="shared" si="84"/>
        <v>7531350.0000680219</v>
      </c>
    </row>
    <row r="913" spans="5:11" x14ac:dyDescent="0.25">
      <c r="E913">
        <v>0.90700000000000003</v>
      </c>
      <c r="F913" s="2">
        <f t="shared" si="85"/>
        <v>45350.000000183958</v>
      </c>
      <c r="G913" s="2">
        <f t="shared" si="86"/>
        <v>16326000.000066224</v>
      </c>
      <c r="H913" s="26">
        <f t="shared" si="87"/>
        <v>15726000.000066224</v>
      </c>
      <c r="I913" s="26">
        <f t="shared" si="89"/>
        <v>17999.999998202547</v>
      </c>
      <c r="J913" s="26">
        <f t="shared" si="88"/>
        <v>8185675</v>
      </c>
      <c r="K913" s="2">
        <f t="shared" si="84"/>
        <v>7540325.0000662245</v>
      </c>
    </row>
    <row r="914" spans="5:11" x14ac:dyDescent="0.25">
      <c r="E914">
        <v>0.90800000000000003</v>
      </c>
      <c r="F914" s="2">
        <f t="shared" si="85"/>
        <v>45400.000000179105</v>
      </c>
      <c r="G914" s="2">
        <f t="shared" si="86"/>
        <v>16344000.000064477</v>
      </c>
      <c r="H914" s="26">
        <f t="shared" si="87"/>
        <v>15744000.000064477</v>
      </c>
      <c r="I914" s="26">
        <f t="shared" si="89"/>
        <v>17999.999998252839</v>
      </c>
      <c r="J914" s="26">
        <f t="shared" si="88"/>
        <v>8194700</v>
      </c>
      <c r="K914" s="2">
        <f t="shared" si="84"/>
        <v>7549300.0000644773</v>
      </c>
    </row>
    <row r="915" spans="5:11" x14ac:dyDescent="0.25">
      <c r="E915">
        <v>0.90900000000000003</v>
      </c>
      <c r="F915" s="2">
        <f t="shared" si="85"/>
        <v>45450.000000174354</v>
      </c>
      <c r="G915" s="2">
        <f t="shared" si="86"/>
        <v>16362000.000062767</v>
      </c>
      <c r="H915" s="26">
        <f t="shared" si="87"/>
        <v>15762000.000062767</v>
      </c>
      <c r="I915" s="26">
        <f t="shared" si="89"/>
        <v>17999.999998290092</v>
      </c>
      <c r="J915" s="26">
        <f t="shared" si="88"/>
        <v>8203725</v>
      </c>
      <c r="K915" s="2">
        <f t="shared" si="84"/>
        <v>7558275.0000627674</v>
      </c>
    </row>
    <row r="916" spans="5:11" x14ac:dyDescent="0.25">
      <c r="E916">
        <v>0.91</v>
      </c>
      <c r="F916" s="2">
        <f t="shared" si="85"/>
        <v>45500.000000169748</v>
      </c>
      <c r="G916" s="2">
        <f t="shared" si="86"/>
        <v>16380000.00006111</v>
      </c>
      <c r="H916" s="26">
        <f t="shared" si="87"/>
        <v>15780000.00006111</v>
      </c>
      <c r="I916" s="26">
        <f t="shared" si="89"/>
        <v>17999.999998342246</v>
      </c>
      <c r="J916" s="26">
        <f t="shared" si="88"/>
        <v>8212750</v>
      </c>
      <c r="K916" s="2">
        <f t="shared" si="84"/>
        <v>7567250.0000611097</v>
      </c>
    </row>
    <row r="917" spans="5:11" x14ac:dyDescent="0.25">
      <c r="E917">
        <v>0.91100000000000003</v>
      </c>
      <c r="F917" s="2">
        <f t="shared" si="85"/>
        <v>45550.000000165273</v>
      </c>
      <c r="G917" s="2">
        <f t="shared" si="86"/>
        <v>16398000.000059498</v>
      </c>
      <c r="H917" s="26">
        <f t="shared" si="87"/>
        <v>15798000.000059498</v>
      </c>
      <c r="I917" s="26">
        <f t="shared" si="89"/>
        <v>17999.999998388812</v>
      </c>
      <c r="J917" s="26">
        <f t="shared" si="88"/>
        <v>8221775</v>
      </c>
      <c r="K917" s="2">
        <f t="shared" si="84"/>
        <v>7576225.0000594985</v>
      </c>
    </row>
    <row r="918" spans="5:11" x14ac:dyDescent="0.25">
      <c r="E918">
        <v>0.91200000000000003</v>
      </c>
      <c r="F918" s="2">
        <f t="shared" si="85"/>
        <v>45600.000000160893</v>
      </c>
      <c r="G918" s="2">
        <f t="shared" si="86"/>
        <v>16416000.000057921</v>
      </c>
      <c r="H918" s="26">
        <f t="shared" si="87"/>
        <v>15816000.000057921</v>
      </c>
      <c r="I918" s="26">
        <f t="shared" si="89"/>
        <v>17999.99999842234</v>
      </c>
      <c r="J918" s="26">
        <f t="shared" si="88"/>
        <v>8230800</v>
      </c>
      <c r="K918" s="2">
        <f t="shared" si="84"/>
        <v>7585200.0000579208</v>
      </c>
    </row>
    <row r="919" spans="5:11" x14ac:dyDescent="0.25">
      <c r="E919">
        <v>0.91300000000000003</v>
      </c>
      <c r="F919" s="2">
        <f t="shared" si="85"/>
        <v>45650.000000156651</v>
      </c>
      <c r="G919" s="2">
        <f t="shared" si="86"/>
        <v>16434000.000056395</v>
      </c>
      <c r="H919" s="26">
        <f t="shared" si="87"/>
        <v>15834000.000056395</v>
      </c>
      <c r="I919" s="26">
        <f t="shared" si="89"/>
        <v>17999.999998474494</v>
      </c>
      <c r="J919" s="26">
        <f t="shared" si="88"/>
        <v>8239825</v>
      </c>
      <c r="K919" s="2">
        <f t="shared" si="84"/>
        <v>7594175.0000563953</v>
      </c>
    </row>
    <row r="920" spans="5:11" x14ac:dyDescent="0.25">
      <c r="E920">
        <v>0.91400000000000003</v>
      </c>
      <c r="F920" s="2">
        <f t="shared" si="85"/>
        <v>45700.000000152504</v>
      </c>
      <c r="G920" s="2">
        <f t="shared" si="86"/>
        <v>16452000.000054901</v>
      </c>
      <c r="H920" s="26">
        <f t="shared" si="87"/>
        <v>15852000.000054901</v>
      </c>
      <c r="I920" s="26">
        <f t="shared" si="89"/>
        <v>17999.999998506159</v>
      </c>
      <c r="J920" s="26">
        <f t="shared" si="88"/>
        <v>8248850</v>
      </c>
      <c r="K920" s="2">
        <f t="shared" si="84"/>
        <v>7603150.0000549015</v>
      </c>
    </row>
    <row r="921" spans="5:11" x14ac:dyDescent="0.25">
      <c r="E921">
        <v>0.91500000000000004</v>
      </c>
      <c r="F921" s="2">
        <f t="shared" si="85"/>
        <v>45750.000000148473</v>
      </c>
      <c r="G921" s="2">
        <f t="shared" si="86"/>
        <v>16470000.00005345</v>
      </c>
      <c r="H921" s="26">
        <f t="shared" si="87"/>
        <v>15870000.00005345</v>
      </c>
      <c r="I921" s="26">
        <f t="shared" si="89"/>
        <v>17999.999998548999</v>
      </c>
      <c r="J921" s="26">
        <f t="shared" si="88"/>
        <v>8257875</v>
      </c>
      <c r="K921" s="2">
        <f t="shared" si="84"/>
        <v>7612125.0000534505</v>
      </c>
    </row>
    <row r="922" spans="5:11" x14ac:dyDescent="0.25">
      <c r="E922">
        <v>0.91600000000000004</v>
      </c>
      <c r="F922" s="2">
        <f t="shared" si="85"/>
        <v>45800.000000144559</v>
      </c>
      <c r="G922" s="2">
        <f t="shared" si="86"/>
        <v>16488000.00005204</v>
      </c>
      <c r="H922" s="26">
        <f t="shared" si="87"/>
        <v>15888000.00005204</v>
      </c>
      <c r="I922" s="26">
        <f t="shared" si="89"/>
        <v>17999.999998589978</v>
      </c>
      <c r="J922" s="26">
        <f t="shared" si="88"/>
        <v>8266900</v>
      </c>
      <c r="K922" s="2">
        <f t="shared" si="84"/>
        <v>7621100.0000520404</v>
      </c>
    </row>
    <row r="923" spans="5:11" x14ac:dyDescent="0.25">
      <c r="E923">
        <v>0.91700000000000004</v>
      </c>
      <c r="F923" s="2">
        <f t="shared" si="85"/>
        <v>45850.000000140739</v>
      </c>
      <c r="G923" s="2">
        <f t="shared" si="86"/>
        <v>16506000.000050666</v>
      </c>
      <c r="H923" s="26">
        <f t="shared" si="87"/>
        <v>15906000.000050666</v>
      </c>
      <c r="I923" s="26">
        <f t="shared" si="89"/>
        <v>17999.999998625368</v>
      </c>
      <c r="J923" s="26">
        <f t="shared" si="88"/>
        <v>8275925</v>
      </c>
      <c r="K923" s="2">
        <f t="shared" si="84"/>
        <v>7630075.0000506658</v>
      </c>
    </row>
    <row r="924" spans="5:11" x14ac:dyDescent="0.25">
      <c r="E924">
        <v>0.91800000000000004</v>
      </c>
      <c r="F924" s="2">
        <f t="shared" si="85"/>
        <v>45900.000000137014</v>
      </c>
      <c r="G924" s="2">
        <f t="shared" si="86"/>
        <v>16524000.000049325</v>
      </c>
      <c r="H924" s="26">
        <f t="shared" si="87"/>
        <v>15924000.000049325</v>
      </c>
      <c r="I924" s="26">
        <f t="shared" si="89"/>
        <v>17999.999998658895</v>
      </c>
      <c r="J924" s="26">
        <f t="shared" si="88"/>
        <v>8284950</v>
      </c>
      <c r="K924" s="2">
        <f t="shared" si="84"/>
        <v>7639050.0000493247</v>
      </c>
    </row>
    <row r="925" spans="5:11" x14ac:dyDescent="0.25">
      <c r="E925">
        <v>0.91900000000000004</v>
      </c>
      <c r="F925" s="2">
        <f t="shared" si="85"/>
        <v>45950.000000133397</v>
      </c>
      <c r="G925" s="2">
        <f t="shared" si="86"/>
        <v>16542000.000048023</v>
      </c>
      <c r="H925" s="26">
        <f t="shared" si="87"/>
        <v>15942000.000048023</v>
      </c>
      <c r="I925" s="26">
        <f t="shared" si="89"/>
        <v>17999.999998698011</v>
      </c>
      <c r="J925" s="26">
        <f t="shared" si="88"/>
        <v>8293975</v>
      </c>
      <c r="K925" s="2">
        <f t="shared" si="84"/>
        <v>7648025.0000480227</v>
      </c>
    </row>
    <row r="926" spans="5:11" x14ac:dyDescent="0.25">
      <c r="E926">
        <v>0.92</v>
      </c>
      <c r="F926" s="2">
        <f t="shared" si="85"/>
        <v>46000.000000129876</v>
      </c>
      <c r="G926" s="2">
        <f t="shared" si="86"/>
        <v>16560000.000046756</v>
      </c>
      <c r="H926" s="26">
        <f t="shared" si="87"/>
        <v>15960000.000046756</v>
      </c>
      <c r="I926" s="26">
        <f t="shared" si="89"/>
        <v>17999.999998733401</v>
      </c>
      <c r="J926" s="26">
        <f t="shared" si="88"/>
        <v>8303000</v>
      </c>
      <c r="K926" s="2">
        <f t="shared" si="84"/>
        <v>7657000.0000467561</v>
      </c>
    </row>
    <row r="927" spans="5:11" x14ac:dyDescent="0.25">
      <c r="E927">
        <v>0.92100000000000004</v>
      </c>
      <c r="F927" s="2">
        <f t="shared" si="85"/>
        <v>46050.000000126434</v>
      </c>
      <c r="G927" s="2">
        <f t="shared" si="86"/>
        <v>16578000.000045516</v>
      </c>
      <c r="H927" s="26">
        <f t="shared" si="87"/>
        <v>15978000.000045516</v>
      </c>
      <c r="I927" s="26">
        <f t="shared" si="89"/>
        <v>17999.999998759478</v>
      </c>
      <c r="J927" s="26">
        <f t="shared" si="88"/>
        <v>8312025</v>
      </c>
      <c r="K927" s="2">
        <f t="shared" si="84"/>
        <v>7665975.0000455156</v>
      </c>
    </row>
    <row r="928" spans="5:11" x14ac:dyDescent="0.25">
      <c r="E928">
        <v>0.92200000000000004</v>
      </c>
      <c r="F928" s="2">
        <f t="shared" si="85"/>
        <v>46100.000000123095</v>
      </c>
      <c r="G928" s="2">
        <f t="shared" si="86"/>
        <v>16596000.000044314</v>
      </c>
      <c r="H928" s="26">
        <f t="shared" si="87"/>
        <v>15996000.000044314</v>
      </c>
      <c r="I928" s="26">
        <f t="shared" si="89"/>
        <v>17999.999998798594</v>
      </c>
      <c r="J928" s="26">
        <f t="shared" si="88"/>
        <v>8321050</v>
      </c>
      <c r="K928" s="2">
        <f t="shared" si="84"/>
        <v>7674950.0000443142</v>
      </c>
    </row>
    <row r="929" spans="5:11" x14ac:dyDescent="0.25">
      <c r="E929">
        <v>0.92300000000000004</v>
      </c>
      <c r="F929" s="2">
        <f t="shared" si="85"/>
        <v>46150.00000011985</v>
      </c>
      <c r="G929" s="2">
        <f t="shared" si="86"/>
        <v>16614000.000043146</v>
      </c>
      <c r="H929" s="26">
        <f t="shared" si="87"/>
        <v>16014000.000043146</v>
      </c>
      <c r="I929" s="26">
        <f t="shared" si="89"/>
        <v>17999.999998832121</v>
      </c>
      <c r="J929" s="26">
        <f t="shared" si="88"/>
        <v>8330075</v>
      </c>
      <c r="K929" s="2">
        <f t="shared" si="84"/>
        <v>7683925.0000431463</v>
      </c>
    </row>
    <row r="930" spans="5:11" x14ac:dyDescent="0.25">
      <c r="E930">
        <v>0.92400000000000004</v>
      </c>
      <c r="F930" s="2">
        <f t="shared" si="85"/>
        <v>46200.000000116685</v>
      </c>
      <c r="G930" s="2">
        <f t="shared" si="86"/>
        <v>16632000.000042006</v>
      </c>
      <c r="H930" s="26">
        <f t="shared" si="87"/>
        <v>16032000.000042006</v>
      </c>
      <c r="I930" s="26">
        <f t="shared" si="89"/>
        <v>17999.999998860061</v>
      </c>
      <c r="J930" s="26">
        <f t="shared" si="88"/>
        <v>8339100</v>
      </c>
      <c r="K930" s="2">
        <f t="shared" si="84"/>
        <v>7692900.0000420064</v>
      </c>
    </row>
    <row r="931" spans="5:11" x14ac:dyDescent="0.25">
      <c r="E931">
        <v>0.92500000000000004</v>
      </c>
      <c r="F931" s="2">
        <f t="shared" si="85"/>
        <v>46250.0000001136</v>
      </c>
      <c r="G931" s="2">
        <f t="shared" si="86"/>
        <v>16650000.000040896</v>
      </c>
      <c r="H931" s="26">
        <f t="shared" si="87"/>
        <v>16050000.000040896</v>
      </c>
      <c r="I931" s="26">
        <f t="shared" si="89"/>
        <v>17999.999998889863</v>
      </c>
      <c r="J931" s="26">
        <f t="shared" si="88"/>
        <v>8348125</v>
      </c>
      <c r="K931" s="2">
        <f t="shared" si="84"/>
        <v>7701875.0000408962</v>
      </c>
    </row>
    <row r="932" spans="5:11" x14ac:dyDescent="0.25">
      <c r="E932">
        <v>0.92600000000000005</v>
      </c>
      <c r="F932" s="2">
        <f t="shared" si="85"/>
        <v>46300.000000110602</v>
      </c>
      <c r="G932" s="2">
        <f t="shared" si="86"/>
        <v>16668000.000039816</v>
      </c>
      <c r="H932" s="26">
        <f t="shared" si="87"/>
        <v>16068000.000039816</v>
      </c>
      <c r="I932" s="26">
        <f t="shared" si="89"/>
        <v>17999.999998919666</v>
      </c>
      <c r="J932" s="26">
        <f t="shared" si="88"/>
        <v>8357150</v>
      </c>
      <c r="K932" s="2">
        <f t="shared" si="84"/>
        <v>7710850.0000398159</v>
      </c>
    </row>
    <row r="933" spans="5:11" x14ac:dyDescent="0.25">
      <c r="E933">
        <v>0.92700000000000005</v>
      </c>
      <c r="F933" s="2">
        <f t="shared" si="85"/>
        <v>46350.000000107677</v>
      </c>
      <c r="G933" s="2">
        <f t="shared" si="86"/>
        <v>16686000.000038764</v>
      </c>
      <c r="H933" s="26">
        <f t="shared" si="87"/>
        <v>16086000.000038764</v>
      </c>
      <c r="I933" s="26">
        <f t="shared" si="89"/>
        <v>17999.999998947605</v>
      </c>
      <c r="J933" s="26">
        <f t="shared" si="88"/>
        <v>8366175</v>
      </c>
      <c r="K933" s="2">
        <f t="shared" si="84"/>
        <v>7719825.0000387635</v>
      </c>
    </row>
    <row r="934" spans="5:11" x14ac:dyDescent="0.25">
      <c r="E934">
        <v>0.92800000000000005</v>
      </c>
      <c r="F934" s="2">
        <f t="shared" si="85"/>
        <v>46400.000000104832</v>
      </c>
      <c r="G934" s="2">
        <f t="shared" si="86"/>
        <v>16704000.000037739</v>
      </c>
      <c r="H934" s="26">
        <f t="shared" si="87"/>
        <v>16104000.000037739</v>
      </c>
      <c r="I934" s="26">
        <f t="shared" si="89"/>
        <v>17999.999998975545</v>
      </c>
      <c r="J934" s="26">
        <f t="shared" si="88"/>
        <v>8375200</v>
      </c>
      <c r="K934" s="2">
        <f t="shared" si="84"/>
        <v>7728800.0000377391</v>
      </c>
    </row>
    <row r="935" spans="5:11" x14ac:dyDescent="0.25">
      <c r="E935">
        <v>0.92900000000000005</v>
      </c>
      <c r="F935" s="2">
        <f t="shared" si="85"/>
        <v>46450.000000102074</v>
      </c>
      <c r="G935" s="2">
        <f t="shared" si="86"/>
        <v>16722000.000036746</v>
      </c>
      <c r="H935" s="26">
        <f t="shared" si="87"/>
        <v>16122000.000036746</v>
      </c>
      <c r="I935" s="26">
        <f t="shared" si="89"/>
        <v>17999.99999900721</v>
      </c>
      <c r="J935" s="26">
        <f t="shared" si="88"/>
        <v>8384225</v>
      </c>
      <c r="K935" s="2">
        <f t="shared" si="84"/>
        <v>7737775.0000367463</v>
      </c>
    </row>
    <row r="936" spans="5:11" x14ac:dyDescent="0.25">
      <c r="E936">
        <v>0.93</v>
      </c>
      <c r="F936" s="2">
        <f t="shared" si="85"/>
        <v>46500.00000009936</v>
      </c>
      <c r="G936" s="2">
        <f t="shared" si="86"/>
        <v>16740000.00003577</v>
      </c>
      <c r="H936" s="26">
        <f t="shared" si="87"/>
        <v>16140000.00003577</v>
      </c>
      <c r="I936" s="26">
        <f t="shared" si="89"/>
        <v>17999.999999023974</v>
      </c>
      <c r="J936" s="26">
        <f t="shared" si="88"/>
        <v>8393250</v>
      </c>
      <c r="K936" s="2">
        <f t="shared" si="84"/>
        <v>7746750.0000357702</v>
      </c>
    </row>
    <row r="937" spans="5:11" x14ac:dyDescent="0.25">
      <c r="E937">
        <v>0.93100000000000005</v>
      </c>
      <c r="F937" s="2">
        <f t="shared" si="85"/>
        <v>46550.000000096741</v>
      </c>
      <c r="G937" s="2">
        <f t="shared" si="86"/>
        <v>16758000.000034828</v>
      </c>
      <c r="H937" s="26">
        <f t="shared" si="87"/>
        <v>16158000.000034828</v>
      </c>
      <c r="I937" s="26">
        <f t="shared" si="89"/>
        <v>17999.999999057502</v>
      </c>
      <c r="J937" s="26">
        <f t="shared" si="88"/>
        <v>8402275</v>
      </c>
      <c r="K937" s="2">
        <f t="shared" si="84"/>
        <v>7755725.0000348277</v>
      </c>
    </row>
    <row r="938" spans="5:11" x14ac:dyDescent="0.25">
      <c r="E938">
        <v>0.93200000000000005</v>
      </c>
      <c r="F938" s="2">
        <f t="shared" si="85"/>
        <v>46600.000000094195</v>
      </c>
      <c r="G938" s="2">
        <f t="shared" si="86"/>
        <v>16776000.000033909</v>
      </c>
      <c r="H938" s="26">
        <f t="shared" si="87"/>
        <v>16176000.000033909</v>
      </c>
      <c r="I938" s="26">
        <f t="shared" si="89"/>
        <v>17999.999999081716</v>
      </c>
      <c r="J938" s="26">
        <f t="shared" si="88"/>
        <v>8411300</v>
      </c>
      <c r="K938" s="2">
        <f t="shared" si="84"/>
        <v>7764700.0000339095</v>
      </c>
    </row>
    <row r="939" spans="5:11" x14ac:dyDescent="0.25">
      <c r="E939">
        <v>0.93300000000000005</v>
      </c>
      <c r="F939" s="2">
        <f t="shared" si="85"/>
        <v>46650.000000091699</v>
      </c>
      <c r="G939" s="2">
        <f t="shared" si="86"/>
        <v>16794000.00003301</v>
      </c>
      <c r="H939" s="26">
        <f t="shared" si="87"/>
        <v>16194000.00003301</v>
      </c>
      <c r="I939" s="26">
        <f t="shared" si="89"/>
        <v>17999.999999100342</v>
      </c>
      <c r="J939" s="26">
        <f t="shared" si="88"/>
        <v>8420325</v>
      </c>
      <c r="K939" s="2">
        <f t="shared" si="84"/>
        <v>7773675.0000330098</v>
      </c>
    </row>
    <row r="940" spans="5:11" x14ac:dyDescent="0.25">
      <c r="E940">
        <v>0.93400000000000005</v>
      </c>
      <c r="F940" s="2">
        <f t="shared" si="85"/>
        <v>46700.000000089283</v>
      </c>
      <c r="G940" s="2">
        <f t="shared" si="86"/>
        <v>16812000.000032142</v>
      </c>
      <c r="H940" s="26">
        <f t="shared" si="87"/>
        <v>16212000.000032142</v>
      </c>
      <c r="I940" s="26">
        <f t="shared" si="89"/>
        <v>17999.999999132007</v>
      </c>
      <c r="J940" s="26">
        <f t="shared" si="88"/>
        <v>8429350</v>
      </c>
      <c r="K940" s="2">
        <f t="shared" si="84"/>
        <v>7782650.0000321418</v>
      </c>
    </row>
    <row r="941" spans="5:11" x14ac:dyDescent="0.25">
      <c r="E941">
        <v>0.93500000000000005</v>
      </c>
      <c r="F941" s="2">
        <f t="shared" si="85"/>
        <v>46750.000000086919</v>
      </c>
      <c r="G941" s="2">
        <f t="shared" si="86"/>
        <v>16830000.000031292</v>
      </c>
      <c r="H941" s="26">
        <f t="shared" si="87"/>
        <v>16230000.000031292</v>
      </c>
      <c r="I941" s="26">
        <f t="shared" si="89"/>
        <v>17999.999999150634</v>
      </c>
      <c r="J941" s="26">
        <f t="shared" si="88"/>
        <v>8438375</v>
      </c>
      <c r="K941" s="2">
        <f t="shared" si="84"/>
        <v>7791625.0000312924</v>
      </c>
    </row>
    <row r="942" spans="5:11" x14ac:dyDescent="0.25">
      <c r="E942">
        <v>0.93600000000000005</v>
      </c>
      <c r="F942" s="2">
        <f t="shared" si="85"/>
        <v>46800.000000084619</v>
      </c>
      <c r="G942" s="2">
        <f t="shared" si="86"/>
        <v>16848000.000030462</v>
      </c>
      <c r="H942" s="26">
        <f t="shared" si="87"/>
        <v>16248000.000030462</v>
      </c>
      <c r="I942" s="26">
        <f t="shared" si="89"/>
        <v>17999.99999916926</v>
      </c>
      <c r="J942" s="26">
        <f t="shared" si="88"/>
        <v>8447400</v>
      </c>
      <c r="K942" s="2">
        <f t="shared" si="84"/>
        <v>7800600.0000304617</v>
      </c>
    </row>
    <row r="943" spans="5:11" x14ac:dyDescent="0.25">
      <c r="E943">
        <v>0.93700000000000006</v>
      </c>
      <c r="F943" s="2">
        <f t="shared" si="85"/>
        <v>46850.000000082393</v>
      </c>
      <c r="G943" s="2">
        <f t="shared" si="86"/>
        <v>16866000.000029661</v>
      </c>
      <c r="H943" s="26">
        <f t="shared" si="87"/>
        <v>16266000.000029661</v>
      </c>
      <c r="I943" s="26">
        <f t="shared" si="89"/>
        <v>17999.999999199063</v>
      </c>
      <c r="J943" s="26">
        <f t="shared" si="88"/>
        <v>8456425</v>
      </c>
      <c r="K943" s="2">
        <f t="shared" si="84"/>
        <v>7809575.0000296608</v>
      </c>
    </row>
    <row r="944" spans="5:11" x14ac:dyDescent="0.25">
      <c r="E944">
        <v>0.93799999999999994</v>
      </c>
      <c r="F944" s="2">
        <f t="shared" si="85"/>
        <v>46900.00000008021</v>
      </c>
      <c r="G944" s="2">
        <f t="shared" si="86"/>
        <v>16884000.000028875</v>
      </c>
      <c r="H944" s="26">
        <f t="shared" si="87"/>
        <v>16284000.000028875</v>
      </c>
      <c r="I944" s="26">
        <f t="shared" si="89"/>
        <v>17999.999999213964</v>
      </c>
      <c r="J944" s="26">
        <f t="shared" si="88"/>
        <v>8465450</v>
      </c>
      <c r="K944" s="2">
        <f t="shared" si="84"/>
        <v>7818550.0000288747</v>
      </c>
    </row>
    <row r="945" spans="5:11" x14ac:dyDescent="0.25">
      <c r="E945">
        <v>0.93899999999999995</v>
      </c>
      <c r="F945" s="2">
        <f t="shared" si="85"/>
        <v>46950.000000078093</v>
      </c>
      <c r="G945" s="2">
        <f t="shared" si="86"/>
        <v>16902000.000028115</v>
      </c>
      <c r="H945" s="26">
        <f t="shared" si="87"/>
        <v>16302000.000028115</v>
      </c>
      <c r="I945" s="26">
        <f t="shared" si="89"/>
        <v>17999.999999240041</v>
      </c>
      <c r="J945" s="26">
        <f t="shared" si="88"/>
        <v>8474475</v>
      </c>
      <c r="K945" s="2">
        <f t="shared" si="84"/>
        <v>7827525.0000281148</v>
      </c>
    </row>
    <row r="946" spans="5:11" x14ac:dyDescent="0.25">
      <c r="E946">
        <v>0.94</v>
      </c>
      <c r="F946" s="2">
        <f t="shared" si="85"/>
        <v>47000.000000076034</v>
      </c>
      <c r="G946" s="2">
        <f t="shared" si="86"/>
        <v>16920000.000027373</v>
      </c>
      <c r="H946" s="26">
        <f t="shared" si="87"/>
        <v>16320000.000027373</v>
      </c>
      <c r="I946" s="26">
        <f t="shared" si="89"/>
        <v>17999.999999258667</v>
      </c>
      <c r="J946" s="26">
        <f t="shared" si="88"/>
        <v>8483500</v>
      </c>
      <c r="K946" s="2">
        <f t="shared" si="84"/>
        <v>7836500.0000273734</v>
      </c>
    </row>
    <row r="947" spans="5:11" x14ac:dyDescent="0.25">
      <c r="E947">
        <v>0.94099999999999995</v>
      </c>
      <c r="F947" s="2">
        <f t="shared" si="85"/>
        <v>47050.000000074026</v>
      </c>
      <c r="G947" s="2">
        <f t="shared" si="86"/>
        <v>16938000.000026651</v>
      </c>
      <c r="H947" s="26">
        <f t="shared" si="87"/>
        <v>16338000.000026651</v>
      </c>
      <c r="I947" s="26">
        <f t="shared" si="89"/>
        <v>17999.999999277294</v>
      </c>
      <c r="J947" s="26">
        <f t="shared" si="88"/>
        <v>8492525</v>
      </c>
      <c r="K947" s="2">
        <f t="shared" si="84"/>
        <v>7845475.0000266507</v>
      </c>
    </row>
    <row r="948" spans="5:11" x14ac:dyDescent="0.25">
      <c r="E948">
        <v>0.94199999999999995</v>
      </c>
      <c r="F948" s="2">
        <f t="shared" si="85"/>
        <v>47100.000000072076</v>
      </c>
      <c r="G948" s="2">
        <f t="shared" si="86"/>
        <v>16956000.000025947</v>
      </c>
      <c r="H948" s="26">
        <f t="shared" si="87"/>
        <v>16356000.000025947</v>
      </c>
      <c r="I948" s="26">
        <f t="shared" si="89"/>
        <v>17999.99999929592</v>
      </c>
      <c r="J948" s="26">
        <f t="shared" si="88"/>
        <v>8501550</v>
      </c>
      <c r="K948" s="2">
        <f t="shared" si="84"/>
        <v>7854450.0000259466</v>
      </c>
    </row>
    <row r="949" spans="5:11" x14ac:dyDescent="0.25">
      <c r="E949">
        <v>0.94299999999999995</v>
      </c>
      <c r="F949" s="2">
        <f t="shared" si="85"/>
        <v>47150.000000070162</v>
      </c>
      <c r="G949" s="2">
        <f t="shared" si="86"/>
        <v>16974000.000025257</v>
      </c>
      <c r="H949" s="26">
        <f t="shared" si="87"/>
        <v>16374000.000025257</v>
      </c>
      <c r="I949" s="26">
        <f t="shared" si="89"/>
        <v>17999.999999310821</v>
      </c>
      <c r="J949" s="26">
        <f t="shared" si="88"/>
        <v>8510575</v>
      </c>
      <c r="K949" s="2">
        <f t="shared" si="84"/>
        <v>7863425.0000252575</v>
      </c>
    </row>
    <row r="950" spans="5:11" x14ac:dyDescent="0.25">
      <c r="E950">
        <v>0.94399999999999995</v>
      </c>
      <c r="F950" s="2">
        <f t="shared" si="85"/>
        <v>47200.000000068314</v>
      </c>
      <c r="G950" s="2">
        <f t="shared" si="86"/>
        <v>16992000.000024594</v>
      </c>
      <c r="H950" s="26">
        <f t="shared" si="87"/>
        <v>16392000.000024594</v>
      </c>
      <c r="I950" s="26">
        <f t="shared" si="89"/>
        <v>17999.999999336898</v>
      </c>
      <c r="J950" s="26">
        <f t="shared" si="88"/>
        <v>8519600</v>
      </c>
      <c r="K950" s="2">
        <f t="shared" si="84"/>
        <v>7872400.0000245944</v>
      </c>
    </row>
    <row r="951" spans="5:11" x14ac:dyDescent="0.25">
      <c r="E951">
        <v>0.94499999999999995</v>
      </c>
      <c r="F951" s="2">
        <f t="shared" si="85"/>
        <v>47250.00000006651</v>
      </c>
      <c r="G951" s="2">
        <f t="shared" si="86"/>
        <v>17010000.000023942</v>
      </c>
      <c r="H951" s="26">
        <f t="shared" si="87"/>
        <v>16410000.000023942</v>
      </c>
      <c r="I951" s="26">
        <f t="shared" si="89"/>
        <v>17999.999999348074</v>
      </c>
      <c r="J951" s="26">
        <f t="shared" si="88"/>
        <v>8528625</v>
      </c>
      <c r="K951" s="2">
        <f t="shared" si="84"/>
        <v>7881375.0000239424</v>
      </c>
    </row>
    <row r="952" spans="5:11" x14ac:dyDescent="0.25">
      <c r="E952">
        <v>0.94599999999999995</v>
      </c>
      <c r="F952" s="2">
        <f t="shared" si="85"/>
        <v>47300.000000064749</v>
      </c>
      <c r="G952" s="2">
        <f t="shared" si="86"/>
        <v>17028000.000023309</v>
      </c>
      <c r="H952" s="26">
        <f t="shared" si="87"/>
        <v>16428000.000023309</v>
      </c>
      <c r="I952" s="26">
        <f t="shared" si="89"/>
        <v>17999.999999366701</v>
      </c>
      <c r="J952" s="26">
        <f t="shared" si="88"/>
        <v>8537650</v>
      </c>
      <c r="K952" s="2">
        <f t="shared" si="84"/>
        <v>7890350.0000233091</v>
      </c>
    </row>
    <row r="953" spans="5:11" x14ac:dyDescent="0.25">
      <c r="E953">
        <v>0.94699999999999995</v>
      </c>
      <c r="F953" s="2">
        <f t="shared" si="85"/>
        <v>47350.000000063039</v>
      </c>
      <c r="G953" s="2">
        <f t="shared" si="86"/>
        <v>17046000.000022694</v>
      </c>
      <c r="H953" s="26">
        <f t="shared" si="87"/>
        <v>16446000.000022694</v>
      </c>
      <c r="I953" s="26">
        <f t="shared" si="89"/>
        <v>17999.999999385327</v>
      </c>
      <c r="J953" s="26">
        <f t="shared" si="88"/>
        <v>8546675</v>
      </c>
      <c r="K953" s="2">
        <f t="shared" si="84"/>
        <v>7899325.0000226945</v>
      </c>
    </row>
    <row r="954" spans="5:11" x14ac:dyDescent="0.25">
      <c r="E954">
        <v>0.94799999999999995</v>
      </c>
      <c r="F954" s="2">
        <f t="shared" si="85"/>
        <v>47400.000000061387</v>
      </c>
      <c r="G954" s="2">
        <f t="shared" si="86"/>
        <v>17064000.000022098</v>
      </c>
      <c r="H954" s="26">
        <f t="shared" si="87"/>
        <v>16464000.000022098</v>
      </c>
      <c r="I954" s="26">
        <f t="shared" si="89"/>
        <v>17999.999999403954</v>
      </c>
      <c r="J954" s="26">
        <f t="shared" si="88"/>
        <v>8555700</v>
      </c>
      <c r="K954" s="2">
        <f t="shared" si="84"/>
        <v>7908300.0000220984</v>
      </c>
    </row>
    <row r="955" spans="5:11" x14ac:dyDescent="0.25">
      <c r="E955">
        <v>0.94899999999999995</v>
      </c>
      <c r="F955" s="2">
        <f t="shared" si="85"/>
        <v>47450.000000059765</v>
      </c>
      <c r="G955" s="2">
        <f t="shared" si="86"/>
        <v>17082000.000021514</v>
      </c>
      <c r="H955" s="26">
        <f t="shared" si="87"/>
        <v>16482000.000021514</v>
      </c>
      <c r="I955" s="26">
        <f t="shared" si="89"/>
        <v>17999.999999415129</v>
      </c>
      <c r="J955" s="26">
        <f t="shared" si="88"/>
        <v>8564725</v>
      </c>
      <c r="K955" s="2">
        <f t="shared" si="84"/>
        <v>7917275.0000215136</v>
      </c>
    </row>
    <row r="956" spans="5:11" x14ac:dyDescent="0.25">
      <c r="E956">
        <v>0.95</v>
      </c>
      <c r="F956" s="2">
        <f t="shared" si="85"/>
        <v>47500.000000058186</v>
      </c>
      <c r="G956" s="2">
        <f t="shared" si="86"/>
        <v>17100000.000020947</v>
      </c>
      <c r="H956" s="26">
        <f t="shared" si="87"/>
        <v>16500000.000020947</v>
      </c>
      <c r="I956" s="26">
        <f t="shared" si="89"/>
        <v>17999.999999433756</v>
      </c>
      <c r="J956" s="26">
        <f t="shared" si="88"/>
        <v>8573750</v>
      </c>
      <c r="K956" s="2">
        <f t="shared" si="84"/>
        <v>7926250.0000209473</v>
      </c>
    </row>
    <row r="957" spans="5:11" x14ac:dyDescent="0.25">
      <c r="E957">
        <v>0.95099999999999996</v>
      </c>
      <c r="F957" s="2">
        <f t="shared" si="85"/>
        <v>47550.000000056651</v>
      </c>
      <c r="G957" s="2">
        <f t="shared" si="86"/>
        <v>17118000.000020396</v>
      </c>
      <c r="H957" s="26">
        <f t="shared" si="87"/>
        <v>16518000.000020396</v>
      </c>
      <c r="I957" s="26">
        <f t="shared" si="89"/>
        <v>17999.999999448657</v>
      </c>
      <c r="J957" s="26">
        <f t="shared" si="88"/>
        <v>8582775</v>
      </c>
      <c r="K957" s="2">
        <f t="shared" si="84"/>
        <v>7935225.000020396</v>
      </c>
    </row>
    <row r="958" spans="5:11" x14ac:dyDescent="0.25">
      <c r="E958">
        <v>0.95199999999999996</v>
      </c>
      <c r="F958" s="2">
        <f t="shared" si="85"/>
        <v>47600.000000055152</v>
      </c>
      <c r="G958" s="2">
        <f t="shared" si="86"/>
        <v>17136000.000019856</v>
      </c>
      <c r="H958" s="26">
        <f t="shared" si="87"/>
        <v>16536000.000019856</v>
      </c>
      <c r="I958" s="26">
        <f t="shared" si="89"/>
        <v>17999.999999459833</v>
      </c>
      <c r="J958" s="26">
        <f t="shared" si="88"/>
        <v>8591800</v>
      </c>
      <c r="K958" s="2">
        <f t="shared" si="84"/>
        <v>7944200.0000198558</v>
      </c>
    </row>
    <row r="959" spans="5:11" x14ac:dyDescent="0.25">
      <c r="E959">
        <v>0.95299999999999996</v>
      </c>
      <c r="F959" s="2">
        <f t="shared" si="85"/>
        <v>47650.000000053697</v>
      </c>
      <c r="G959" s="2">
        <f t="shared" si="86"/>
        <v>17154000.000019331</v>
      </c>
      <c r="H959" s="26">
        <f t="shared" si="87"/>
        <v>16554000.000019331</v>
      </c>
      <c r="I959" s="26">
        <f t="shared" si="89"/>
        <v>17999.999999474734</v>
      </c>
      <c r="J959" s="26">
        <f t="shared" si="88"/>
        <v>8600825</v>
      </c>
      <c r="K959" s="2">
        <f t="shared" si="84"/>
        <v>7953175.0000193305</v>
      </c>
    </row>
    <row r="960" spans="5:11" x14ac:dyDescent="0.25">
      <c r="E960">
        <v>0.95399999999999996</v>
      </c>
      <c r="F960" s="2">
        <f t="shared" si="85"/>
        <v>47700.000000052285</v>
      </c>
      <c r="G960" s="2">
        <f t="shared" si="86"/>
        <v>17172000.000018824</v>
      </c>
      <c r="H960" s="26">
        <f t="shared" si="87"/>
        <v>16572000.000018824</v>
      </c>
      <c r="I960" s="26">
        <f t="shared" si="89"/>
        <v>17999.999999493361</v>
      </c>
      <c r="J960" s="26">
        <f t="shared" si="88"/>
        <v>8609850</v>
      </c>
      <c r="K960" s="2">
        <f t="shared" si="84"/>
        <v>7962150.0000188239</v>
      </c>
    </row>
    <row r="961" spans="5:11" x14ac:dyDescent="0.25">
      <c r="E961">
        <v>0.95499999999999996</v>
      </c>
      <c r="F961" s="2">
        <f t="shared" si="85"/>
        <v>47750.000000050895</v>
      </c>
      <c r="G961" s="2">
        <f t="shared" si="86"/>
        <v>17190000.000018321</v>
      </c>
      <c r="H961" s="26">
        <f t="shared" si="87"/>
        <v>16590000.000018321</v>
      </c>
      <c r="I961" s="26">
        <f t="shared" si="89"/>
        <v>17999.999999497086</v>
      </c>
      <c r="J961" s="26">
        <f t="shared" si="88"/>
        <v>8618875</v>
      </c>
      <c r="K961" s="2">
        <f t="shared" si="84"/>
        <v>7971125.000018321</v>
      </c>
    </row>
    <row r="962" spans="5:11" x14ac:dyDescent="0.25">
      <c r="E962">
        <v>0.95599999999999996</v>
      </c>
      <c r="F962" s="2">
        <f t="shared" si="85"/>
        <v>47800.000000049564</v>
      </c>
      <c r="G962" s="2">
        <f t="shared" si="86"/>
        <v>17208000.000017844</v>
      </c>
      <c r="H962" s="26">
        <f t="shared" si="87"/>
        <v>16608000.000017844</v>
      </c>
      <c r="I962" s="26">
        <f t="shared" si="89"/>
        <v>17999.999999523163</v>
      </c>
      <c r="J962" s="26">
        <f t="shared" si="88"/>
        <v>8627900</v>
      </c>
      <c r="K962" s="2">
        <f t="shared" si="84"/>
        <v>7980100.0000178441</v>
      </c>
    </row>
    <row r="963" spans="5:11" x14ac:dyDescent="0.25">
      <c r="E963">
        <v>0.95699999999999996</v>
      </c>
      <c r="F963" s="2">
        <f t="shared" si="85"/>
        <v>47850.000000048247</v>
      </c>
      <c r="G963" s="2">
        <f t="shared" si="86"/>
        <v>17226000.000017367</v>
      </c>
      <c r="H963" s="26">
        <f t="shared" si="87"/>
        <v>16626000.000017367</v>
      </c>
      <c r="I963" s="26">
        <f t="shared" si="89"/>
        <v>17999.999999523163</v>
      </c>
      <c r="J963" s="26">
        <f t="shared" si="88"/>
        <v>8636925</v>
      </c>
      <c r="K963" s="2">
        <f t="shared" si="84"/>
        <v>7989075.0000173673</v>
      </c>
    </row>
    <row r="964" spans="5:11" x14ac:dyDescent="0.25">
      <c r="E964">
        <v>0.95799999999999996</v>
      </c>
      <c r="F964" s="2">
        <f t="shared" si="85"/>
        <v>47900.000000046974</v>
      </c>
      <c r="G964" s="2">
        <f t="shared" si="86"/>
        <v>17244000.000016909</v>
      </c>
      <c r="H964" s="26">
        <f t="shared" si="87"/>
        <v>16644000.000016909</v>
      </c>
      <c r="I964" s="26">
        <f t="shared" si="89"/>
        <v>17999.999999541789</v>
      </c>
      <c r="J964" s="26">
        <f t="shared" si="88"/>
        <v>8645950</v>
      </c>
      <c r="K964" s="2">
        <f t="shared" si="84"/>
        <v>7998050.0000169091</v>
      </c>
    </row>
    <row r="965" spans="5:11" x14ac:dyDescent="0.25">
      <c r="E965">
        <v>0.95899999999999996</v>
      </c>
      <c r="F965" s="2">
        <f t="shared" si="85"/>
        <v>47950.000000045737</v>
      </c>
      <c r="G965" s="2">
        <f t="shared" si="86"/>
        <v>17262000.000016466</v>
      </c>
      <c r="H965" s="26">
        <f t="shared" si="87"/>
        <v>16662000.000016466</v>
      </c>
      <c r="I965" s="26">
        <f t="shared" si="89"/>
        <v>17999.99999955669</v>
      </c>
      <c r="J965" s="26">
        <f t="shared" si="88"/>
        <v>8654975</v>
      </c>
      <c r="K965" s="2">
        <f t="shared" si="84"/>
        <v>8007025.0000164658</v>
      </c>
    </row>
    <row r="966" spans="5:11" x14ac:dyDescent="0.25">
      <c r="E966">
        <v>0.96</v>
      </c>
      <c r="F966" s="2">
        <f t="shared" si="85"/>
        <v>48000.000000044536</v>
      </c>
      <c r="G966" s="2">
        <f t="shared" si="86"/>
        <v>17280000.000016034</v>
      </c>
      <c r="H966" s="26">
        <f t="shared" si="87"/>
        <v>16680000.000016034</v>
      </c>
      <c r="I966" s="26">
        <f t="shared" si="89"/>
        <v>17999.999999567866</v>
      </c>
      <c r="J966" s="26">
        <f t="shared" si="88"/>
        <v>8664000</v>
      </c>
      <c r="K966" s="2">
        <f t="shared" ref="K966:K1029" si="90">H966-J966</f>
        <v>8016000.0000160336</v>
      </c>
    </row>
    <row r="967" spans="5:11" x14ac:dyDescent="0.25">
      <c r="E967">
        <v>0.96099999999999997</v>
      </c>
      <c r="F967" s="2">
        <f t="shared" ref="F967:F1006" si="91">PMT(E967/12,$C$7,-$C$6,0,0)</f>
        <v>48050.000000043357</v>
      </c>
      <c r="G967" s="2">
        <f t="shared" ref="G967:G1006" si="92">360*F967</f>
        <v>17298000.000015609</v>
      </c>
      <c r="H967" s="26">
        <f t="shared" ref="H967:H1006" si="93">360*F967-$C$6</f>
        <v>16698000.000015609</v>
      </c>
      <c r="I967" s="26">
        <f t="shared" si="89"/>
        <v>17999.999999575317</v>
      </c>
      <c r="J967" s="26">
        <f t="shared" ref="J967:J1006" si="94">$C$6*E967/12*($C$7+1)/2</f>
        <v>8673025</v>
      </c>
      <c r="K967" s="2">
        <f t="shared" si="90"/>
        <v>8024975.000015609</v>
      </c>
    </row>
    <row r="968" spans="5:11" x14ac:dyDescent="0.25">
      <c r="E968">
        <v>0.96199999999999997</v>
      </c>
      <c r="F968" s="2">
        <f t="shared" si="91"/>
        <v>48100.000000042208</v>
      </c>
      <c r="G968" s="2">
        <f t="shared" si="92"/>
        <v>17316000.000015195</v>
      </c>
      <c r="H968" s="26">
        <f t="shared" si="93"/>
        <v>16716000.000015195</v>
      </c>
      <c r="I968" s="26">
        <f t="shared" si="89"/>
        <v>17999.999999586493</v>
      </c>
      <c r="J968" s="26">
        <f t="shared" si="94"/>
        <v>8682050</v>
      </c>
      <c r="K968" s="2">
        <f t="shared" si="90"/>
        <v>8033950.0000151955</v>
      </c>
    </row>
    <row r="969" spans="5:11" x14ac:dyDescent="0.25">
      <c r="E969">
        <v>0.96299999999999997</v>
      </c>
      <c r="F969" s="2">
        <f t="shared" si="91"/>
        <v>48150.000000041109</v>
      </c>
      <c r="G969" s="2">
        <f t="shared" si="92"/>
        <v>17334000.000014801</v>
      </c>
      <c r="H969" s="26">
        <f t="shared" si="93"/>
        <v>16734000.000014801</v>
      </c>
      <c r="I969" s="26">
        <f t="shared" ref="I969:I1006" si="95">H969-H968</f>
        <v>17999.999999605119</v>
      </c>
      <c r="J969" s="26">
        <f t="shared" si="94"/>
        <v>8691075</v>
      </c>
      <c r="K969" s="2">
        <f t="shared" si="90"/>
        <v>8042925.0000148006</v>
      </c>
    </row>
    <row r="970" spans="5:11" x14ac:dyDescent="0.25">
      <c r="E970">
        <v>0.96399999999999997</v>
      </c>
      <c r="F970" s="2">
        <f t="shared" si="91"/>
        <v>48200.00000004001</v>
      </c>
      <c r="G970" s="2">
        <f t="shared" si="92"/>
        <v>17352000.000014402</v>
      </c>
      <c r="H970" s="26">
        <f t="shared" si="93"/>
        <v>16752000.000014402</v>
      </c>
      <c r="I970" s="26">
        <f t="shared" si="95"/>
        <v>17999.999999601394</v>
      </c>
      <c r="J970" s="26">
        <f t="shared" si="94"/>
        <v>8700100</v>
      </c>
      <c r="K970" s="2">
        <f t="shared" si="90"/>
        <v>8051900.000014402</v>
      </c>
    </row>
    <row r="971" spans="5:11" x14ac:dyDescent="0.25">
      <c r="E971">
        <v>0.96499999999999997</v>
      </c>
      <c r="F971" s="2">
        <f t="shared" si="91"/>
        <v>48250.000000038963</v>
      </c>
      <c r="G971" s="2">
        <f t="shared" si="92"/>
        <v>17370000.000014026</v>
      </c>
      <c r="H971" s="26">
        <f t="shared" si="93"/>
        <v>16770000.000014026</v>
      </c>
      <c r="I971" s="26">
        <f t="shared" si="95"/>
        <v>17999.999999623746</v>
      </c>
      <c r="J971" s="26">
        <f t="shared" si="94"/>
        <v>8709125</v>
      </c>
      <c r="K971" s="2">
        <f t="shared" si="90"/>
        <v>8060875.0000140257</v>
      </c>
    </row>
    <row r="972" spans="5:11" x14ac:dyDescent="0.25">
      <c r="E972">
        <v>0.96599999999999997</v>
      </c>
      <c r="F972" s="2">
        <f t="shared" si="91"/>
        <v>48300.000000037937</v>
      </c>
      <c r="G972" s="2">
        <f t="shared" si="92"/>
        <v>17388000.000013657</v>
      </c>
      <c r="H972" s="26">
        <f t="shared" si="93"/>
        <v>16788000.000013657</v>
      </c>
      <c r="I972" s="26">
        <f t="shared" si="95"/>
        <v>17999.999999631196</v>
      </c>
      <c r="J972" s="26">
        <f t="shared" si="94"/>
        <v>8718150</v>
      </c>
      <c r="K972" s="2">
        <f t="shared" si="90"/>
        <v>8069850.0000136569</v>
      </c>
    </row>
    <row r="973" spans="5:11" x14ac:dyDescent="0.25">
      <c r="E973">
        <v>0.96699999999999997</v>
      </c>
      <c r="F973" s="2">
        <f t="shared" si="91"/>
        <v>48350.000000036933</v>
      </c>
      <c r="G973" s="2">
        <f t="shared" si="92"/>
        <v>17406000.000013296</v>
      </c>
      <c r="H973" s="26">
        <f t="shared" si="93"/>
        <v>16806000.000013296</v>
      </c>
      <c r="I973" s="26">
        <f t="shared" si="95"/>
        <v>17999.999999638647</v>
      </c>
      <c r="J973" s="26">
        <f t="shared" si="94"/>
        <v>8727175</v>
      </c>
      <c r="K973" s="2">
        <f t="shared" si="90"/>
        <v>8078825.0000132956</v>
      </c>
    </row>
    <row r="974" spans="5:11" x14ac:dyDescent="0.25">
      <c r="E974">
        <v>0.96799999999999997</v>
      </c>
      <c r="F974" s="2">
        <f t="shared" si="91"/>
        <v>48400.000000035958</v>
      </c>
      <c r="G974" s="2">
        <f t="shared" si="92"/>
        <v>17424000.000012945</v>
      </c>
      <c r="H974" s="26">
        <f t="shared" si="93"/>
        <v>16824000.000012945</v>
      </c>
      <c r="I974" s="26">
        <f t="shared" si="95"/>
        <v>17999.999999649823</v>
      </c>
      <c r="J974" s="26">
        <f t="shared" si="94"/>
        <v>8736200</v>
      </c>
      <c r="K974" s="2">
        <f t="shared" si="90"/>
        <v>8087800.0000129454</v>
      </c>
    </row>
    <row r="975" spans="5:11" x14ac:dyDescent="0.25">
      <c r="E975">
        <v>0.96899999999999997</v>
      </c>
      <c r="F975" s="2">
        <f t="shared" si="91"/>
        <v>48450.000000035012</v>
      </c>
      <c r="G975" s="2">
        <f t="shared" si="92"/>
        <v>17442000.000012603</v>
      </c>
      <c r="H975" s="26">
        <f t="shared" si="93"/>
        <v>16842000.000012603</v>
      </c>
      <c r="I975" s="26">
        <f t="shared" si="95"/>
        <v>17999.999999657273</v>
      </c>
      <c r="J975" s="26">
        <f t="shared" si="94"/>
        <v>8745225</v>
      </c>
      <c r="K975" s="2">
        <f t="shared" si="90"/>
        <v>8096775.0000126027</v>
      </c>
    </row>
    <row r="976" spans="5:11" x14ac:dyDescent="0.25">
      <c r="E976">
        <v>0.97</v>
      </c>
      <c r="F976" s="2">
        <f t="shared" si="91"/>
        <v>48500.000000034088</v>
      </c>
      <c r="G976" s="2">
        <f t="shared" si="92"/>
        <v>17460000.000012271</v>
      </c>
      <c r="H976" s="26">
        <f t="shared" si="93"/>
        <v>16860000.000012271</v>
      </c>
      <c r="I976" s="26">
        <f t="shared" si="95"/>
        <v>17999.999999668449</v>
      </c>
      <c r="J976" s="26">
        <f t="shared" si="94"/>
        <v>8754250</v>
      </c>
      <c r="K976" s="2">
        <f t="shared" si="90"/>
        <v>8105750.0000122711</v>
      </c>
    </row>
    <row r="977" spans="5:11" x14ac:dyDescent="0.25">
      <c r="E977">
        <v>0.97099999999999997</v>
      </c>
      <c r="F977" s="2">
        <f t="shared" si="91"/>
        <v>48550.000000033186</v>
      </c>
      <c r="G977" s="2">
        <f t="shared" si="92"/>
        <v>17478000.000011947</v>
      </c>
      <c r="H977" s="26">
        <f t="shared" si="93"/>
        <v>16878000.000011947</v>
      </c>
      <c r="I977" s="26">
        <f t="shared" si="95"/>
        <v>17999.9999996759</v>
      </c>
      <c r="J977" s="26">
        <f t="shared" si="94"/>
        <v>8763275</v>
      </c>
      <c r="K977" s="2">
        <f t="shared" si="90"/>
        <v>8114725.000011947</v>
      </c>
    </row>
    <row r="978" spans="5:11" x14ac:dyDescent="0.25">
      <c r="E978">
        <v>0.97199999999999998</v>
      </c>
      <c r="F978" s="2">
        <f t="shared" si="91"/>
        <v>48600.00000003232</v>
      </c>
      <c r="G978" s="2">
        <f t="shared" si="92"/>
        <v>17496000.000011634</v>
      </c>
      <c r="H978" s="26">
        <f t="shared" si="93"/>
        <v>16896000.000011634</v>
      </c>
      <c r="I978" s="26">
        <f t="shared" si="95"/>
        <v>17999.999999687076</v>
      </c>
      <c r="J978" s="26">
        <f t="shared" si="94"/>
        <v>8772300</v>
      </c>
      <c r="K978" s="2">
        <f t="shared" si="90"/>
        <v>8123700.0000116341</v>
      </c>
    </row>
    <row r="979" spans="5:11" x14ac:dyDescent="0.25">
      <c r="E979">
        <v>0.97299999999999998</v>
      </c>
      <c r="F979" s="2">
        <f t="shared" si="91"/>
        <v>48650.000000031454</v>
      </c>
      <c r="G979" s="2">
        <f t="shared" si="92"/>
        <v>17514000.000011325</v>
      </c>
      <c r="H979" s="26">
        <f t="shared" si="93"/>
        <v>16914000.000011325</v>
      </c>
      <c r="I979" s="26">
        <f t="shared" si="95"/>
        <v>17999.999999690801</v>
      </c>
      <c r="J979" s="26">
        <f t="shared" si="94"/>
        <v>8781325</v>
      </c>
      <c r="K979" s="2">
        <f t="shared" si="90"/>
        <v>8132675.0000113249</v>
      </c>
    </row>
    <row r="980" spans="5:11" x14ac:dyDescent="0.25">
      <c r="E980">
        <v>0.97399999999999998</v>
      </c>
      <c r="F980" s="2">
        <f t="shared" si="91"/>
        <v>48700.000000030632</v>
      </c>
      <c r="G980" s="2">
        <f t="shared" si="92"/>
        <v>17532000.000011027</v>
      </c>
      <c r="H980" s="26">
        <f t="shared" si="93"/>
        <v>16932000.000011027</v>
      </c>
      <c r="I980" s="26">
        <f t="shared" si="95"/>
        <v>17999.999999701977</v>
      </c>
      <c r="J980" s="26">
        <f t="shared" si="94"/>
        <v>8790350</v>
      </c>
      <c r="K980" s="2">
        <f t="shared" si="90"/>
        <v>8141650.0000110269</v>
      </c>
    </row>
    <row r="981" spans="5:11" x14ac:dyDescent="0.25">
      <c r="E981">
        <v>0.97499999999999998</v>
      </c>
      <c r="F981" s="2">
        <f t="shared" si="91"/>
        <v>48750.000000029824</v>
      </c>
      <c r="G981" s="2">
        <f t="shared" si="92"/>
        <v>17550000.000010736</v>
      </c>
      <c r="H981" s="26">
        <f t="shared" si="93"/>
        <v>16950000.000010736</v>
      </c>
      <c r="I981" s="26">
        <f t="shared" si="95"/>
        <v>17999.999999709427</v>
      </c>
      <c r="J981" s="26">
        <f t="shared" si="94"/>
        <v>8799375</v>
      </c>
      <c r="K981" s="2">
        <f t="shared" si="90"/>
        <v>8150625.0000107363</v>
      </c>
    </row>
    <row r="982" spans="5:11" x14ac:dyDescent="0.25">
      <c r="E982">
        <v>0.97599999999999998</v>
      </c>
      <c r="F982" s="2">
        <f t="shared" si="91"/>
        <v>48800.000000029038</v>
      </c>
      <c r="G982" s="2">
        <f t="shared" si="92"/>
        <v>17568000.000010453</v>
      </c>
      <c r="H982" s="26">
        <f t="shared" si="93"/>
        <v>16968000.000010453</v>
      </c>
      <c r="I982" s="26">
        <f t="shared" si="95"/>
        <v>17999.999999716878</v>
      </c>
      <c r="J982" s="26">
        <f t="shared" si="94"/>
        <v>8808400</v>
      </c>
      <c r="K982" s="2">
        <f t="shared" si="90"/>
        <v>8159600.0000104532</v>
      </c>
    </row>
    <row r="983" spans="5:11" x14ac:dyDescent="0.25">
      <c r="E983">
        <v>0.97699999999999998</v>
      </c>
      <c r="F983" s="2">
        <f t="shared" si="91"/>
        <v>48850.000000028274</v>
      </c>
      <c r="G983" s="2">
        <f t="shared" si="92"/>
        <v>17586000.000010177</v>
      </c>
      <c r="H983" s="26">
        <f t="shared" si="93"/>
        <v>16986000.000010177</v>
      </c>
      <c r="I983" s="26">
        <f t="shared" si="95"/>
        <v>17999.999999724329</v>
      </c>
      <c r="J983" s="26">
        <f t="shared" si="94"/>
        <v>8817425</v>
      </c>
      <c r="K983" s="2">
        <f t="shared" si="90"/>
        <v>8168575.0000101775</v>
      </c>
    </row>
    <row r="984" spans="5:11" x14ac:dyDescent="0.25">
      <c r="E984">
        <v>0.97799999999999998</v>
      </c>
      <c r="F984" s="2">
        <f t="shared" si="91"/>
        <v>48900.000000027525</v>
      </c>
      <c r="G984" s="2">
        <f t="shared" si="92"/>
        <v>17604000.000009909</v>
      </c>
      <c r="H984" s="26">
        <f t="shared" si="93"/>
        <v>17004000.000009909</v>
      </c>
      <c r="I984" s="26">
        <f t="shared" si="95"/>
        <v>17999.999999731779</v>
      </c>
      <c r="J984" s="26">
        <f t="shared" si="94"/>
        <v>8826450</v>
      </c>
      <c r="K984" s="2">
        <f t="shared" si="90"/>
        <v>8177550.0000099093</v>
      </c>
    </row>
    <row r="985" spans="5:11" x14ac:dyDescent="0.25">
      <c r="E985">
        <v>0.97899999999999998</v>
      </c>
      <c r="F985" s="2">
        <f t="shared" si="91"/>
        <v>48950.000000026797</v>
      </c>
      <c r="G985" s="2">
        <f t="shared" si="92"/>
        <v>17622000.000009649</v>
      </c>
      <c r="H985" s="26">
        <f t="shared" si="93"/>
        <v>17022000.000009649</v>
      </c>
      <c r="I985" s="26">
        <f t="shared" si="95"/>
        <v>17999.99999973923</v>
      </c>
      <c r="J985" s="26">
        <f t="shared" si="94"/>
        <v>8835475</v>
      </c>
      <c r="K985" s="2">
        <f t="shared" si="90"/>
        <v>8186525.0000096485</v>
      </c>
    </row>
    <row r="986" spans="5:11" x14ac:dyDescent="0.25">
      <c r="E986">
        <v>0.98</v>
      </c>
      <c r="F986" s="2">
        <f t="shared" si="91"/>
        <v>49000.000000026099</v>
      </c>
      <c r="G986" s="2">
        <f t="shared" si="92"/>
        <v>17640000.000009395</v>
      </c>
      <c r="H986" s="26">
        <f t="shared" si="93"/>
        <v>17040000.000009395</v>
      </c>
      <c r="I986" s="26">
        <f t="shared" si="95"/>
        <v>17999.99999974668</v>
      </c>
      <c r="J986" s="26">
        <f t="shared" si="94"/>
        <v>8844500</v>
      </c>
      <c r="K986" s="2">
        <f t="shared" si="90"/>
        <v>8195500.0000093952</v>
      </c>
    </row>
    <row r="987" spans="5:11" x14ac:dyDescent="0.25">
      <c r="E987">
        <v>0.98099999999999998</v>
      </c>
      <c r="F987" s="2">
        <f t="shared" si="91"/>
        <v>49050.000000025415</v>
      </c>
      <c r="G987" s="2">
        <f t="shared" si="92"/>
        <v>17658000.000009149</v>
      </c>
      <c r="H987" s="26">
        <f t="shared" si="93"/>
        <v>17058000.000009149</v>
      </c>
      <c r="I987" s="26">
        <f t="shared" si="95"/>
        <v>17999.999999754131</v>
      </c>
      <c r="J987" s="26">
        <f t="shared" si="94"/>
        <v>8853525</v>
      </c>
      <c r="K987" s="2">
        <f t="shared" si="90"/>
        <v>8204475.0000091493</v>
      </c>
    </row>
    <row r="988" spans="5:11" x14ac:dyDescent="0.25">
      <c r="E988">
        <v>0.98199999999999998</v>
      </c>
      <c r="F988" s="2">
        <f t="shared" si="91"/>
        <v>49100.000000024738</v>
      </c>
      <c r="G988" s="2">
        <f t="shared" si="92"/>
        <v>17676000.000008907</v>
      </c>
      <c r="H988" s="26">
        <f t="shared" si="93"/>
        <v>17076000.000008907</v>
      </c>
      <c r="I988" s="26">
        <f t="shared" si="95"/>
        <v>17999.999999757856</v>
      </c>
      <c r="J988" s="26">
        <f t="shared" si="94"/>
        <v>8862550</v>
      </c>
      <c r="K988" s="2">
        <f t="shared" si="90"/>
        <v>8213450.0000089072</v>
      </c>
    </row>
    <row r="989" spans="5:11" x14ac:dyDescent="0.25">
      <c r="E989">
        <v>0.98299999999999998</v>
      </c>
      <c r="F989" s="2">
        <f t="shared" si="91"/>
        <v>49150.000000024091</v>
      </c>
      <c r="G989" s="2">
        <f t="shared" si="92"/>
        <v>17694000.000008672</v>
      </c>
      <c r="H989" s="26">
        <f t="shared" si="93"/>
        <v>17094000.000008672</v>
      </c>
      <c r="I989" s="26">
        <f t="shared" si="95"/>
        <v>17999.999999765307</v>
      </c>
      <c r="J989" s="26">
        <f t="shared" si="94"/>
        <v>8871575</v>
      </c>
      <c r="K989" s="2">
        <f t="shared" si="90"/>
        <v>8222425.0000086725</v>
      </c>
    </row>
    <row r="990" spans="5:11" x14ac:dyDescent="0.25">
      <c r="E990">
        <v>0.98399999999999999</v>
      </c>
      <c r="F990" s="2">
        <f t="shared" si="91"/>
        <v>49200.00000002345</v>
      </c>
      <c r="G990" s="2">
        <f t="shared" si="92"/>
        <v>17712000.000008442</v>
      </c>
      <c r="H990" s="26">
        <f t="shared" si="93"/>
        <v>17112000.000008442</v>
      </c>
      <c r="I990" s="26">
        <f t="shared" si="95"/>
        <v>17999.999999769032</v>
      </c>
      <c r="J990" s="26">
        <f t="shared" si="94"/>
        <v>8880600</v>
      </c>
      <c r="K990" s="2">
        <f t="shared" si="90"/>
        <v>8231400.0000084415</v>
      </c>
    </row>
    <row r="991" spans="5:11" x14ac:dyDescent="0.25">
      <c r="E991">
        <v>0.98499999999999999</v>
      </c>
      <c r="F991" s="2">
        <f t="shared" si="91"/>
        <v>49250.000000022832</v>
      </c>
      <c r="G991" s="2">
        <f t="shared" si="92"/>
        <v>17730000.000008218</v>
      </c>
      <c r="H991" s="26">
        <f t="shared" si="93"/>
        <v>17130000.000008218</v>
      </c>
      <c r="I991" s="26">
        <f t="shared" si="95"/>
        <v>17999.999999776483</v>
      </c>
      <c r="J991" s="26">
        <f t="shared" si="94"/>
        <v>8889625</v>
      </c>
      <c r="K991" s="2">
        <f t="shared" si="90"/>
        <v>8240375.000008218</v>
      </c>
    </row>
    <row r="992" spans="5:11" x14ac:dyDescent="0.25">
      <c r="E992">
        <v>0.98599999999999999</v>
      </c>
      <c r="F992" s="2">
        <f t="shared" si="91"/>
        <v>49300.000000022228</v>
      </c>
      <c r="G992" s="2">
        <f t="shared" si="92"/>
        <v>17748000.000008002</v>
      </c>
      <c r="H992" s="26">
        <f t="shared" si="93"/>
        <v>17148000.000008002</v>
      </c>
      <c r="I992" s="26">
        <f t="shared" si="95"/>
        <v>17999.999999783933</v>
      </c>
      <c r="J992" s="26">
        <f t="shared" si="94"/>
        <v>8898650</v>
      </c>
      <c r="K992" s="2">
        <f t="shared" si="90"/>
        <v>8249350.0000080019</v>
      </c>
    </row>
    <row r="993" spans="5:11" x14ac:dyDescent="0.25">
      <c r="E993">
        <v>0.98699999999999999</v>
      </c>
      <c r="F993" s="2">
        <f t="shared" si="91"/>
        <v>49350.000000021653</v>
      </c>
      <c r="G993" s="2">
        <f t="shared" si="92"/>
        <v>17766000.000007793</v>
      </c>
      <c r="H993" s="26">
        <f t="shared" si="93"/>
        <v>17166000.000007793</v>
      </c>
      <c r="I993" s="26">
        <f t="shared" si="95"/>
        <v>17999.999999791384</v>
      </c>
      <c r="J993" s="26">
        <f t="shared" si="94"/>
        <v>8907675</v>
      </c>
      <c r="K993" s="2">
        <f t="shared" si="90"/>
        <v>8258325.0000077933</v>
      </c>
    </row>
    <row r="994" spans="5:11" x14ac:dyDescent="0.25">
      <c r="E994">
        <v>0.98799999999999999</v>
      </c>
      <c r="F994" s="2">
        <f t="shared" si="91"/>
        <v>49400.000000021071</v>
      </c>
      <c r="G994" s="2">
        <f t="shared" si="92"/>
        <v>17784000.000007585</v>
      </c>
      <c r="H994" s="26">
        <f t="shared" si="93"/>
        <v>17184000.000007585</v>
      </c>
      <c r="I994" s="26">
        <f t="shared" si="95"/>
        <v>17999.999999791384</v>
      </c>
      <c r="J994" s="26">
        <f t="shared" si="94"/>
        <v>8916700</v>
      </c>
      <c r="K994" s="2">
        <f t="shared" si="90"/>
        <v>8267300.0000075847</v>
      </c>
    </row>
    <row r="995" spans="5:11" x14ac:dyDescent="0.25">
      <c r="E995">
        <v>0.98899999999999999</v>
      </c>
      <c r="F995" s="2">
        <f t="shared" si="91"/>
        <v>49450.000000020511</v>
      </c>
      <c r="G995" s="2">
        <f t="shared" si="92"/>
        <v>17802000.000007384</v>
      </c>
      <c r="H995" s="26">
        <f t="shared" si="93"/>
        <v>17202000.000007384</v>
      </c>
      <c r="I995" s="26">
        <f t="shared" si="95"/>
        <v>17999.999999798834</v>
      </c>
      <c r="J995" s="26">
        <f t="shared" si="94"/>
        <v>8925725</v>
      </c>
      <c r="K995" s="2">
        <f t="shared" si="90"/>
        <v>8276275.0000073835</v>
      </c>
    </row>
    <row r="996" spans="5:11" x14ac:dyDescent="0.25">
      <c r="E996">
        <v>0.99</v>
      </c>
      <c r="F996" s="2">
        <f t="shared" si="91"/>
        <v>49500.00000001998</v>
      </c>
      <c r="G996" s="2">
        <f t="shared" si="92"/>
        <v>17820000.000007194</v>
      </c>
      <c r="H996" s="26">
        <f t="shared" si="93"/>
        <v>17220000.000007194</v>
      </c>
      <c r="I996" s="26">
        <f t="shared" si="95"/>
        <v>17999.99999981001</v>
      </c>
      <c r="J996" s="26">
        <f t="shared" si="94"/>
        <v>8934750</v>
      </c>
      <c r="K996" s="2">
        <f t="shared" si="90"/>
        <v>8285250.0000071935</v>
      </c>
    </row>
    <row r="997" spans="5:11" x14ac:dyDescent="0.25">
      <c r="E997">
        <v>0.99099999999999999</v>
      </c>
      <c r="F997" s="2">
        <f t="shared" si="91"/>
        <v>49550.000000019449</v>
      </c>
      <c r="G997" s="2">
        <f t="shared" si="92"/>
        <v>17838000.000007</v>
      </c>
      <c r="H997" s="26">
        <f t="shared" si="93"/>
        <v>17238000.000007</v>
      </c>
      <c r="I997" s="26">
        <f t="shared" si="95"/>
        <v>17999.999999806285</v>
      </c>
      <c r="J997" s="26">
        <f t="shared" si="94"/>
        <v>8943775</v>
      </c>
      <c r="K997" s="2">
        <f t="shared" si="90"/>
        <v>8294225.0000069998</v>
      </c>
    </row>
    <row r="998" spans="5:11" x14ac:dyDescent="0.25">
      <c r="E998">
        <v>0.99199999999999999</v>
      </c>
      <c r="F998" s="2">
        <f t="shared" si="91"/>
        <v>49600.000000018939</v>
      </c>
      <c r="G998" s="2">
        <f t="shared" si="92"/>
        <v>17856000.000006817</v>
      </c>
      <c r="H998" s="26">
        <f t="shared" si="93"/>
        <v>17256000.000006817</v>
      </c>
      <c r="I998" s="26">
        <f t="shared" si="95"/>
        <v>17999.999999817461</v>
      </c>
      <c r="J998" s="26">
        <f t="shared" si="94"/>
        <v>8952800</v>
      </c>
      <c r="K998" s="2">
        <f t="shared" si="90"/>
        <v>8303200.0000068173</v>
      </c>
    </row>
    <row r="999" spans="5:11" x14ac:dyDescent="0.25">
      <c r="E999">
        <v>0.99299999999999999</v>
      </c>
      <c r="F999" s="2">
        <f t="shared" si="91"/>
        <v>49650.000000018437</v>
      </c>
      <c r="G999" s="2">
        <f t="shared" si="92"/>
        <v>17874000.000006638</v>
      </c>
      <c r="H999" s="26">
        <f t="shared" si="93"/>
        <v>17274000.000006638</v>
      </c>
      <c r="I999" s="26">
        <f t="shared" si="95"/>
        <v>17999.999999821186</v>
      </c>
      <c r="J999" s="26">
        <f t="shared" si="94"/>
        <v>8961825</v>
      </c>
      <c r="K999" s="2">
        <f t="shared" si="90"/>
        <v>8312175.0000066385</v>
      </c>
    </row>
    <row r="1000" spans="5:11" x14ac:dyDescent="0.25">
      <c r="E1000">
        <v>0.99399999999999999</v>
      </c>
      <c r="F1000" s="2">
        <f t="shared" si="91"/>
        <v>49700.00000001795</v>
      </c>
      <c r="G1000" s="2">
        <f t="shared" si="92"/>
        <v>17892000.000006463</v>
      </c>
      <c r="H1000" s="26">
        <f t="shared" si="93"/>
        <v>17292000.000006463</v>
      </c>
      <c r="I1000" s="26">
        <f t="shared" si="95"/>
        <v>17999.999999824911</v>
      </c>
      <c r="J1000" s="26">
        <f t="shared" si="94"/>
        <v>8970850</v>
      </c>
      <c r="K1000" s="2">
        <f t="shared" si="90"/>
        <v>8321150.0000064634</v>
      </c>
    </row>
    <row r="1001" spans="5:11" x14ac:dyDescent="0.25">
      <c r="E1001">
        <v>0.995</v>
      </c>
      <c r="F1001" s="2">
        <f t="shared" si="91"/>
        <v>49750.000000017484</v>
      </c>
      <c r="G1001" s="2">
        <f t="shared" si="92"/>
        <v>17910000.000006296</v>
      </c>
      <c r="H1001" s="26">
        <f t="shared" si="93"/>
        <v>17310000.000006296</v>
      </c>
      <c r="I1001" s="26">
        <f t="shared" si="95"/>
        <v>17999.999999832362</v>
      </c>
      <c r="J1001" s="26">
        <f t="shared" si="94"/>
        <v>8979875</v>
      </c>
      <c r="K1001" s="2">
        <f t="shared" si="90"/>
        <v>8330125.0000062957</v>
      </c>
    </row>
    <row r="1002" spans="5:11" x14ac:dyDescent="0.25">
      <c r="E1002">
        <v>0.996</v>
      </c>
      <c r="F1002" s="2">
        <f t="shared" si="91"/>
        <v>49800.000000017026</v>
      </c>
      <c r="G1002" s="2">
        <f t="shared" si="92"/>
        <v>17928000.000006128</v>
      </c>
      <c r="H1002" s="26">
        <f t="shared" si="93"/>
        <v>17328000.000006128</v>
      </c>
      <c r="I1002" s="26">
        <f t="shared" si="95"/>
        <v>17999.999999832362</v>
      </c>
      <c r="J1002" s="26">
        <f t="shared" si="94"/>
        <v>8988900</v>
      </c>
      <c r="K1002" s="2">
        <f t="shared" si="90"/>
        <v>8339100.0000061281</v>
      </c>
    </row>
    <row r="1003" spans="5:11" x14ac:dyDescent="0.25">
      <c r="E1003">
        <v>0.997</v>
      </c>
      <c r="F1003" s="2">
        <f t="shared" si="91"/>
        <v>49850.000000016567</v>
      </c>
      <c r="G1003" s="2">
        <f t="shared" si="92"/>
        <v>17946000.000005964</v>
      </c>
      <c r="H1003" s="26">
        <f t="shared" si="93"/>
        <v>17346000.000005964</v>
      </c>
      <c r="I1003" s="26">
        <f t="shared" si="95"/>
        <v>17999.999999836087</v>
      </c>
      <c r="J1003" s="26">
        <f t="shared" si="94"/>
        <v>8997925</v>
      </c>
      <c r="K1003" s="2">
        <f t="shared" si="90"/>
        <v>8348075.0000059642</v>
      </c>
    </row>
    <row r="1004" spans="5:11" x14ac:dyDescent="0.25">
      <c r="E1004">
        <v>0.998</v>
      </c>
      <c r="F1004" s="2">
        <f t="shared" si="91"/>
        <v>49900.000000016138</v>
      </c>
      <c r="G1004" s="2">
        <f t="shared" si="92"/>
        <v>17964000.000005811</v>
      </c>
      <c r="H1004" s="26">
        <f t="shared" si="93"/>
        <v>17364000.000005811</v>
      </c>
      <c r="I1004" s="26">
        <f t="shared" si="95"/>
        <v>17999.999999847263</v>
      </c>
      <c r="J1004" s="26">
        <f t="shared" si="94"/>
        <v>9006950</v>
      </c>
      <c r="K1004" s="2">
        <f t="shared" si="90"/>
        <v>8357050.0000058115</v>
      </c>
    </row>
    <row r="1005" spans="5:11" x14ac:dyDescent="0.25">
      <c r="E1005">
        <v>0.999</v>
      </c>
      <c r="F1005" s="2">
        <f t="shared" si="91"/>
        <v>49950.000000015716</v>
      </c>
      <c r="G1005" s="2">
        <f t="shared" si="92"/>
        <v>17982000.000005659</v>
      </c>
      <c r="H1005" s="26">
        <f t="shared" si="93"/>
        <v>17382000.000005659</v>
      </c>
      <c r="I1005" s="26">
        <f t="shared" si="95"/>
        <v>17999.999999847263</v>
      </c>
      <c r="J1005" s="26">
        <f t="shared" si="94"/>
        <v>9015975</v>
      </c>
      <c r="K1005" s="2">
        <f t="shared" si="90"/>
        <v>8366025.0000056587</v>
      </c>
    </row>
    <row r="1006" spans="5:11" x14ac:dyDescent="0.25">
      <c r="E1006">
        <v>1</v>
      </c>
      <c r="F1006" s="2">
        <f t="shared" si="91"/>
        <v>50000.000000015294</v>
      </c>
      <c r="G1006" s="2">
        <f t="shared" si="92"/>
        <v>18000000.000005506</v>
      </c>
      <c r="H1006" s="26">
        <f t="shared" si="93"/>
        <v>17400000.000005506</v>
      </c>
      <c r="I1006" s="26">
        <f t="shared" si="95"/>
        <v>17999.999999847263</v>
      </c>
      <c r="J1006" s="26">
        <f t="shared" si="94"/>
        <v>9025000</v>
      </c>
      <c r="K1006" s="2">
        <f t="shared" si="90"/>
        <v>8375000.000005506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6D99A9-611D-43CC-BC33-B2735C3020CA}">
  <sheetPr codeName="Arkusz9">
    <tabColor rgb="FF00B0F0"/>
  </sheetPr>
  <dimension ref="A1"/>
  <sheetViews>
    <sheetView workbookViewId="0">
      <selection activeCell="Y28" sqref="Y28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95489D-5845-4481-A25A-E6886A236D60}">
  <sheetPr codeName="Arkusz10">
    <tabColor rgb="FF00B0F0"/>
  </sheetPr>
  <dimension ref="A3:F37"/>
  <sheetViews>
    <sheetView topLeftCell="A7" workbookViewId="0">
      <selection activeCell="F38" sqref="F38"/>
    </sheetView>
  </sheetViews>
  <sheetFormatPr defaultRowHeight="15" x14ac:dyDescent="0.25"/>
  <cols>
    <col min="1" max="1" width="35.42578125" customWidth="1"/>
    <col min="4" max="4" width="9.85546875" bestFit="1" customWidth="1"/>
  </cols>
  <sheetData>
    <row r="3" spans="1:5" x14ac:dyDescent="0.25">
      <c r="A3" t="s">
        <v>93</v>
      </c>
      <c r="D3">
        <v>100</v>
      </c>
    </row>
    <row r="4" spans="1:5" x14ac:dyDescent="0.25">
      <c r="A4" t="s">
        <v>94</v>
      </c>
      <c r="D4">
        <v>2</v>
      </c>
    </row>
    <row r="5" spans="1:5" x14ac:dyDescent="0.25">
      <c r="A5" t="s">
        <v>95</v>
      </c>
      <c r="D5" s="1">
        <v>0</v>
      </c>
    </row>
    <row r="6" spans="1:5" x14ac:dyDescent="0.25">
      <c r="A6" t="s">
        <v>96</v>
      </c>
      <c r="D6">
        <v>1</v>
      </c>
    </row>
    <row r="7" spans="1:5" x14ac:dyDescent="0.25">
      <c r="A7" t="s">
        <v>97</v>
      </c>
      <c r="D7" s="1">
        <v>0.08</v>
      </c>
    </row>
    <row r="8" spans="1:5" x14ac:dyDescent="0.25">
      <c r="D8" s="2">
        <f>PV(D7,D4,0,-NOMINAŁ,0)</f>
        <v>85.733882030178322</v>
      </c>
      <c r="E8" s="2">
        <f>NOMINAŁ/(1+D7)^D4</f>
        <v>85.733882030178322</v>
      </c>
    </row>
    <row r="11" spans="1:5" ht="57" customHeight="1" x14ac:dyDescent="0.25">
      <c r="A11" s="10" t="s">
        <v>98</v>
      </c>
    </row>
    <row r="13" spans="1:5" x14ac:dyDescent="0.25">
      <c r="A13" t="s">
        <v>93</v>
      </c>
      <c r="D13">
        <v>100</v>
      </c>
    </row>
    <row r="14" spans="1:5" x14ac:dyDescent="0.25">
      <c r="A14" t="s">
        <v>94</v>
      </c>
      <c r="D14">
        <v>3</v>
      </c>
    </row>
    <row r="15" spans="1:5" x14ac:dyDescent="0.25">
      <c r="A15" t="s">
        <v>95</v>
      </c>
      <c r="D15" s="1">
        <v>0.04</v>
      </c>
    </row>
    <row r="16" spans="1:5" x14ac:dyDescent="0.25">
      <c r="A16" t="s">
        <v>96</v>
      </c>
      <c r="D16">
        <v>1</v>
      </c>
    </row>
    <row r="17" spans="1:5" x14ac:dyDescent="0.25">
      <c r="A17" t="s">
        <v>97</v>
      </c>
      <c r="D17" s="1">
        <v>0.05</v>
      </c>
    </row>
    <row r="18" spans="1:5" x14ac:dyDescent="0.25">
      <c r="D18" s="2">
        <f>PV(D17,D14,-D15*D13,-D13,0)</f>
        <v>97.276751970629519</v>
      </c>
    </row>
    <row r="20" spans="1:5" x14ac:dyDescent="0.25">
      <c r="A20" t="s">
        <v>99</v>
      </c>
      <c r="C20" s="2"/>
    </row>
    <row r="22" spans="1:5" x14ac:dyDescent="0.25">
      <c r="A22" t="s">
        <v>93</v>
      </c>
      <c r="D22">
        <v>100</v>
      </c>
    </row>
    <row r="23" spans="1:5" x14ac:dyDescent="0.25">
      <c r="A23" t="s">
        <v>94</v>
      </c>
      <c r="D23">
        <v>2</v>
      </c>
    </row>
    <row r="24" spans="1:5" x14ac:dyDescent="0.25">
      <c r="A24" t="s">
        <v>95</v>
      </c>
      <c r="D24" s="1">
        <v>0.06</v>
      </c>
    </row>
    <row r="25" spans="1:5" x14ac:dyDescent="0.25">
      <c r="A25" t="s">
        <v>96</v>
      </c>
      <c r="D25">
        <v>4</v>
      </c>
    </row>
    <row r="26" spans="1:5" x14ac:dyDescent="0.25">
      <c r="A26" t="s">
        <v>97</v>
      </c>
      <c r="D26" s="1">
        <v>0.03</v>
      </c>
    </row>
    <row r="28" spans="1:5" x14ac:dyDescent="0.25">
      <c r="D28" s="2">
        <f>PV(D26/4,D23*D25,-D24*D22/D25,-D22,0)</f>
        <v>105.80245993530134</v>
      </c>
    </row>
    <row r="30" spans="1:5" x14ac:dyDescent="0.25">
      <c r="A30" t="s">
        <v>100</v>
      </c>
    </row>
    <row r="31" spans="1:5" x14ac:dyDescent="0.25">
      <c r="A31" t="s">
        <v>101</v>
      </c>
      <c r="E31">
        <v>-88.5</v>
      </c>
    </row>
    <row r="32" spans="1:5" x14ac:dyDescent="0.25">
      <c r="A32" t="s">
        <v>102</v>
      </c>
      <c r="E32">
        <v>5</v>
      </c>
    </row>
    <row r="33" spans="1:6" x14ac:dyDescent="0.25">
      <c r="A33" t="s">
        <v>103</v>
      </c>
      <c r="E33">
        <v>5</v>
      </c>
    </row>
    <row r="34" spans="1:6" x14ac:dyDescent="0.25">
      <c r="E34">
        <v>5</v>
      </c>
    </row>
    <row r="35" spans="1:6" x14ac:dyDescent="0.25">
      <c r="D35" s="2"/>
      <c r="E35">
        <v>105</v>
      </c>
    </row>
    <row r="36" spans="1:6" x14ac:dyDescent="0.25">
      <c r="E36" s="16">
        <f>IRR(E31:E35)</f>
        <v>8.5117203136235275E-2</v>
      </c>
      <c r="F36" t="s">
        <v>104</v>
      </c>
    </row>
    <row r="37" spans="1:6" x14ac:dyDescent="0.25">
      <c r="E37" t="s">
        <v>105</v>
      </c>
      <c r="F37" s="12">
        <f>E36*2</f>
        <v>0.17023440627247055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BC69C3-F5A4-4B94-85FE-30CA209F06B2}">
  <sheetPr codeName="Arkusz11">
    <tabColor rgb="FF7030A0"/>
  </sheetPr>
  <dimension ref="A2:AX106"/>
  <sheetViews>
    <sheetView tabSelected="1" topLeftCell="A7" workbookViewId="0">
      <selection activeCell="K24" sqref="K24"/>
    </sheetView>
  </sheetViews>
  <sheetFormatPr defaultRowHeight="15" x14ac:dyDescent="0.25"/>
  <sheetData>
    <row r="2" spans="1:50" x14ac:dyDescent="0.25">
      <c r="K2" t="s">
        <v>117</v>
      </c>
    </row>
    <row r="3" spans="1:50" x14ac:dyDescent="0.25">
      <c r="A3" t="s">
        <v>107</v>
      </c>
    </row>
    <row r="6" spans="1:50" x14ac:dyDescent="0.25">
      <c r="C6" t="s">
        <v>43</v>
      </c>
      <c r="D6">
        <v>2</v>
      </c>
      <c r="M6" t="s">
        <v>43</v>
      </c>
      <c r="N6" t="s">
        <v>28</v>
      </c>
      <c r="O6" t="s">
        <v>108</v>
      </c>
      <c r="P6" t="s">
        <v>109</v>
      </c>
      <c r="Q6" t="s">
        <v>110</v>
      </c>
      <c r="R6" t="s">
        <v>54</v>
      </c>
      <c r="S6" t="s">
        <v>119</v>
      </c>
      <c r="T6" t="s">
        <v>118</v>
      </c>
      <c r="W6" t="s">
        <v>43</v>
      </c>
      <c r="X6" t="s">
        <v>28</v>
      </c>
      <c r="Y6" t="s">
        <v>108</v>
      </c>
      <c r="Z6" t="s">
        <v>109</v>
      </c>
      <c r="AA6" t="s">
        <v>110</v>
      </c>
      <c r="AB6" t="s">
        <v>54</v>
      </c>
      <c r="AC6" t="s">
        <v>119</v>
      </c>
      <c r="AD6" t="s">
        <v>118</v>
      </c>
      <c r="AG6" t="s">
        <v>43</v>
      </c>
      <c r="AH6" t="s">
        <v>28</v>
      </c>
      <c r="AI6" t="s">
        <v>108</v>
      </c>
      <c r="AJ6" t="s">
        <v>109</v>
      </c>
      <c r="AK6" t="s">
        <v>110</v>
      </c>
      <c r="AL6" t="s">
        <v>54</v>
      </c>
      <c r="AM6" t="s">
        <v>119</v>
      </c>
      <c r="AN6" t="s">
        <v>118</v>
      </c>
      <c r="AQ6" t="s">
        <v>43</v>
      </c>
      <c r="AR6" t="s">
        <v>28</v>
      </c>
      <c r="AS6" t="s">
        <v>108</v>
      </c>
      <c r="AT6" t="s">
        <v>109</v>
      </c>
      <c r="AU6" t="s">
        <v>110</v>
      </c>
      <c r="AV6" t="s">
        <v>54</v>
      </c>
      <c r="AW6" t="s">
        <v>119</v>
      </c>
      <c r="AX6" t="s">
        <v>118</v>
      </c>
    </row>
    <row r="7" spans="1:50" x14ac:dyDescent="0.25">
      <c r="A7" t="e">
        <f>CRR(3,1%,100,-10%,20%,110, "c")</f>
        <v>#VALUE!</v>
      </c>
      <c r="C7" t="s">
        <v>28</v>
      </c>
      <c r="D7">
        <v>0.1</v>
      </c>
      <c r="M7">
        <v>1</v>
      </c>
      <c r="N7">
        <v>0.1</v>
      </c>
      <c r="O7">
        <v>100</v>
      </c>
      <c r="P7">
        <v>-0.2</v>
      </c>
      <c r="Q7">
        <v>0.3</v>
      </c>
      <c r="R7">
        <v>90</v>
      </c>
      <c r="S7" t="s">
        <v>111</v>
      </c>
      <c r="T7" t="s">
        <v>109</v>
      </c>
      <c r="U7">
        <f>CRR(M7,N7,O7,P7,Q7,R7,S7,T7)</f>
        <v>21.81818181818182</v>
      </c>
      <c r="W7">
        <v>1</v>
      </c>
      <c r="X7">
        <v>0.1</v>
      </c>
      <c r="Y7">
        <v>100</v>
      </c>
      <c r="Z7">
        <v>-0.2</v>
      </c>
      <c r="AA7">
        <v>0.3</v>
      </c>
      <c r="AB7">
        <v>90</v>
      </c>
      <c r="AC7" t="s">
        <v>114</v>
      </c>
      <c r="AD7" t="s">
        <v>109</v>
      </c>
      <c r="AE7">
        <f>CRR(W7,X7,Y7,Z7,AA7,AB7,AC7,AD7)</f>
        <v>3.6363636363636354</v>
      </c>
      <c r="AG7">
        <v>1</v>
      </c>
      <c r="AH7">
        <v>0.1</v>
      </c>
      <c r="AI7">
        <v>100</v>
      </c>
      <c r="AJ7">
        <v>-0.2</v>
      </c>
      <c r="AK7">
        <v>0.3</v>
      </c>
      <c r="AL7">
        <v>90</v>
      </c>
      <c r="AM7" t="s">
        <v>111</v>
      </c>
      <c r="AN7" t="s">
        <v>116</v>
      </c>
      <c r="AO7">
        <f>CRR(AG7,AH7,AI7,AJ7,AK7,AL7,AM7,AN7)</f>
        <v>21.81818181818182</v>
      </c>
      <c r="AQ7">
        <v>1</v>
      </c>
      <c r="AR7">
        <v>0.1</v>
      </c>
      <c r="AS7">
        <v>100</v>
      </c>
      <c r="AT7">
        <v>-0.2</v>
      </c>
      <c r="AU7">
        <v>0.3</v>
      </c>
      <c r="AV7">
        <v>90</v>
      </c>
      <c r="AW7" t="s">
        <v>114</v>
      </c>
      <c r="AX7" t="s">
        <v>116</v>
      </c>
    </row>
    <row r="8" spans="1:50" x14ac:dyDescent="0.25">
      <c r="C8" t="s">
        <v>108</v>
      </c>
      <c r="D8">
        <v>100</v>
      </c>
      <c r="M8">
        <v>2</v>
      </c>
      <c r="N8">
        <v>0.1</v>
      </c>
      <c r="O8">
        <v>100</v>
      </c>
      <c r="P8">
        <v>-0.2</v>
      </c>
      <c r="Q8">
        <v>0.3</v>
      </c>
      <c r="R8">
        <v>90</v>
      </c>
      <c r="S8" t="s">
        <v>111</v>
      </c>
      <c r="T8" t="s">
        <v>109</v>
      </c>
      <c r="U8">
        <f t="shared" ref="U8:U71" si="0">CRR(M8,N8,O8,P8,Q8,R8,S8,T8)</f>
        <v>29.057851239669432</v>
      </c>
      <c r="W8">
        <v>2</v>
      </c>
      <c r="X8">
        <v>0.1</v>
      </c>
      <c r="Y8">
        <v>100</v>
      </c>
      <c r="Z8">
        <v>-0.2</v>
      </c>
      <c r="AA8">
        <v>0.3</v>
      </c>
      <c r="AB8">
        <v>90</v>
      </c>
      <c r="AC8" t="s">
        <v>114</v>
      </c>
      <c r="AD8" t="s">
        <v>109</v>
      </c>
      <c r="AE8">
        <f t="shared" ref="AE8:AE71" si="1">CRR(W8,X8,Y8,Z8,AA8,AB8,AC8,AD8)</f>
        <v>3.6363636363636354</v>
      </c>
      <c r="AG8">
        <v>2</v>
      </c>
      <c r="AH8">
        <v>0.1</v>
      </c>
      <c r="AI8">
        <v>100</v>
      </c>
      <c r="AJ8">
        <v>-0.2</v>
      </c>
      <c r="AK8">
        <v>0.3</v>
      </c>
      <c r="AL8">
        <v>90</v>
      </c>
      <c r="AM8" t="s">
        <v>111</v>
      </c>
      <c r="AN8" t="s">
        <v>116</v>
      </c>
      <c r="AO8">
        <f t="shared" ref="AO8:AO71" si="2">CRR(AG8,AH8,AI8,AJ8,AK8,AL8,AM8,AN8)</f>
        <v>29.057851239669432</v>
      </c>
      <c r="AQ8">
        <v>2</v>
      </c>
      <c r="AR8">
        <v>0.1</v>
      </c>
      <c r="AS8">
        <v>100</v>
      </c>
      <c r="AT8">
        <v>-0.2</v>
      </c>
      <c r="AU8">
        <v>0.3</v>
      </c>
      <c r="AV8">
        <v>90</v>
      </c>
      <c r="AW8" t="s">
        <v>114</v>
      </c>
      <c r="AX8" t="s">
        <v>116</v>
      </c>
    </row>
    <row r="9" spans="1:50" x14ac:dyDescent="0.25">
      <c r="C9" t="s">
        <v>109</v>
      </c>
      <c r="D9">
        <v>-0.2</v>
      </c>
      <c r="M9">
        <v>3</v>
      </c>
      <c r="N9">
        <v>0.1</v>
      </c>
      <c r="O9">
        <v>100</v>
      </c>
      <c r="P9">
        <v>-0.2</v>
      </c>
      <c r="Q9">
        <v>0.3</v>
      </c>
      <c r="R9">
        <v>90</v>
      </c>
      <c r="S9" t="s">
        <v>111</v>
      </c>
      <c r="T9" t="s">
        <v>109</v>
      </c>
      <c r="U9">
        <f t="shared" si="0"/>
        <v>35.718707738542456</v>
      </c>
      <c r="W9">
        <v>3</v>
      </c>
      <c r="X9">
        <v>0.1</v>
      </c>
      <c r="Y9">
        <v>100</v>
      </c>
      <c r="Z9">
        <v>-0.2</v>
      </c>
      <c r="AA9">
        <v>0.3</v>
      </c>
      <c r="AB9">
        <v>90</v>
      </c>
      <c r="AC9" t="s">
        <v>114</v>
      </c>
      <c r="AD9" t="s">
        <v>109</v>
      </c>
      <c r="AE9">
        <f t="shared" si="1"/>
        <v>4.4189331329827128</v>
      </c>
      <c r="AG9">
        <v>3</v>
      </c>
      <c r="AH9">
        <v>0.1</v>
      </c>
      <c r="AI9">
        <v>100</v>
      </c>
      <c r="AJ9">
        <v>-0.2</v>
      </c>
      <c r="AK9">
        <v>0.3</v>
      </c>
      <c r="AL9">
        <v>90</v>
      </c>
      <c r="AM9" t="s">
        <v>111</v>
      </c>
      <c r="AN9" t="s">
        <v>116</v>
      </c>
      <c r="AO9">
        <f t="shared" si="2"/>
        <v>35.718707738542456</v>
      </c>
      <c r="AQ9">
        <v>3</v>
      </c>
      <c r="AR9">
        <v>0.1</v>
      </c>
      <c r="AS9">
        <v>100</v>
      </c>
      <c r="AT9">
        <v>-0.2</v>
      </c>
      <c r="AU9">
        <v>0.3</v>
      </c>
      <c r="AV9">
        <v>90</v>
      </c>
      <c r="AW9" t="s">
        <v>114</v>
      </c>
      <c r="AX9" t="s">
        <v>116</v>
      </c>
    </row>
    <row r="10" spans="1:50" x14ac:dyDescent="0.25">
      <c r="C10" t="s">
        <v>110</v>
      </c>
      <c r="D10">
        <v>0.3</v>
      </c>
      <c r="M10">
        <v>4</v>
      </c>
      <c r="N10">
        <v>0.1</v>
      </c>
      <c r="O10">
        <v>100</v>
      </c>
      <c r="P10">
        <v>-0.2</v>
      </c>
      <c r="Q10">
        <v>0.3</v>
      </c>
      <c r="R10">
        <v>90</v>
      </c>
      <c r="S10" t="s">
        <v>111</v>
      </c>
      <c r="T10" t="s">
        <v>109</v>
      </c>
      <c r="U10">
        <f t="shared" si="0"/>
        <v>41.84537121781301</v>
      </c>
      <c r="W10">
        <v>4</v>
      </c>
      <c r="X10">
        <v>0.1</v>
      </c>
      <c r="Y10">
        <v>100</v>
      </c>
      <c r="Z10">
        <v>-0.2</v>
      </c>
      <c r="AA10">
        <v>0.3</v>
      </c>
      <c r="AB10">
        <v>90</v>
      </c>
      <c r="AC10" t="s">
        <v>114</v>
      </c>
      <c r="AD10" t="s">
        <v>109</v>
      </c>
      <c r="AE10">
        <f t="shared" si="1"/>
        <v>4.6675718871661713</v>
      </c>
      <c r="AG10">
        <v>4</v>
      </c>
      <c r="AH10">
        <v>0.1</v>
      </c>
      <c r="AI10">
        <v>100</v>
      </c>
      <c r="AJ10">
        <v>-0.2</v>
      </c>
      <c r="AK10">
        <v>0.3</v>
      </c>
      <c r="AL10">
        <v>90</v>
      </c>
      <c r="AM10" t="s">
        <v>111</v>
      </c>
      <c r="AN10" t="s">
        <v>116</v>
      </c>
      <c r="AO10">
        <f t="shared" si="2"/>
        <v>41.84537121781301</v>
      </c>
      <c r="AQ10">
        <v>4</v>
      </c>
      <c r="AR10">
        <v>0.1</v>
      </c>
      <c r="AS10">
        <v>100</v>
      </c>
      <c r="AT10">
        <v>-0.2</v>
      </c>
      <c r="AU10">
        <v>0.3</v>
      </c>
      <c r="AV10">
        <v>90</v>
      </c>
      <c r="AW10" t="s">
        <v>114</v>
      </c>
      <c r="AX10" t="s">
        <v>116</v>
      </c>
    </row>
    <row r="11" spans="1:50" x14ac:dyDescent="0.25">
      <c r="C11" t="s">
        <v>54</v>
      </c>
      <c r="D11">
        <v>90</v>
      </c>
      <c r="M11">
        <v>5</v>
      </c>
      <c r="N11">
        <v>0.1</v>
      </c>
      <c r="O11">
        <v>100</v>
      </c>
      <c r="P11">
        <v>-0.2</v>
      </c>
      <c r="Q11">
        <v>0.3</v>
      </c>
      <c r="R11">
        <v>90</v>
      </c>
      <c r="S11" t="s">
        <v>111</v>
      </c>
      <c r="T11" t="s">
        <v>109</v>
      </c>
      <c r="U11">
        <f t="shared" si="0"/>
        <v>46.730264375880942</v>
      </c>
      <c r="W11">
        <v>5</v>
      </c>
      <c r="X11">
        <v>0.1</v>
      </c>
      <c r="Y11">
        <v>100</v>
      </c>
      <c r="Z11">
        <v>-0.2</v>
      </c>
      <c r="AA11">
        <v>0.3</v>
      </c>
      <c r="AB11">
        <v>90</v>
      </c>
      <c r="AC11" t="s">
        <v>114</v>
      </c>
      <c r="AD11" t="s">
        <v>109</v>
      </c>
      <c r="AE11">
        <f t="shared" si="1"/>
        <v>4.9159245208039604</v>
      </c>
      <c r="AG11">
        <v>5</v>
      </c>
      <c r="AH11">
        <v>0.1</v>
      </c>
      <c r="AI11">
        <v>100</v>
      </c>
      <c r="AJ11">
        <v>-0.2</v>
      </c>
      <c r="AK11">
        <v>0.3</v>
      </c>
      <c r="AL11">
        <v>90</v>
      </c>
      <c r="AM11" t="s">
        <v>111</v>
      </c>
      <c r="AN11" t="s">
        <v>116</v>
      </c>
      <c r="AO11">
        <f t="shared" si="2"/>
        <v>46.730264375880942</v>
      </c>
      <c r="AQ11">
        <v>5</v>
      </c>
      <c r="AR11">
        <v>0.1</v>
      </c>
      <c r="AS11">
        <v>100</v>
      </c>
      <c r="AT11">
        <v>-0.2</v>
      </c>
      <c r="AU11">
        <v>0.3</v>
      </c>
      <c r="AV11">
        <v>90</v>
      </c>
      <c r="AW11" t="s">
        <v>114</v>
      </c>
      <c r="AX11" t="s">
        <v>116</v>
      </c>
    </row>
    <row r="12" spans="1:50" x14ac:dyDescent="0.25">
      <c r="C12" t="s">
        <v>112</v>
      </c>
      <c r="D12" t="s">
        <v>111</v>
      </c>
      <c r="M12">
        <v>6</v>
      </c>
      <c r="N12">
        <v>0.1</v>
      </c>
      <c r="O12">
        <v>100</v>
      </c>
      <c r="P12">
        <v>-0.2</v>
      </c>
      <c r="Q12">
        <v>0.3</v>
      </c>
      <c r="R12">
        <v>90</v>
      </c>
      <c r="S12" t="s">
        <v>111</v>
      </c>
      <c r="T12" t="s">
        <v>109</v>
      </c>
      <c r="U12">
        <f t="shared" si="0"/>
        <v>51.95252877208295</v>
      </c>
      <c r="W12">
        <v>6</v>
      </c>
      <c r="X12">
        <v>0.1</v>
      </c>
      <c r="Y12">
        <v>100</v>
      </c>
      <c r="Z12">
        <v>-0.2</v>
      </c>
      <c r="AA12">
        <v>0.3</v>
      </c>
      <c r="AB12">
        <v>90</v>
      </c>
      <c r="AC12" t="s">
        <v>114</v>
      </c>
      <c r="AD12" t="s">
        <v>109</v>
      </c>
      <c r="AE12">
        <f t="shared" si="1"/>
        <v>5.2080171825864241</v>
      </c>
      <c r="AG12">
        <v>6</v>
      </c>
      <c r="AH12">
        <v>0.1</v>
      </c>
      <c r="AI12">
        <v>100</v>
      </c>
      <c r="AJ12">
        <v>-0.2</v>
      </c>
      <c r="AK12">
        <v>0.3</v>
      </c>
      <c r="AL12">
        <v>90</v>
      </c>
      <c r="AM12" t="s">
        <v>111</v>
      </c>
      <c r="AN12" t="s">
        <v>116</v>
      </c>
      <c r="AO12">
        <f t="shared" si="2"/>
        <v>51.95252877208295</v>
      </c>
      <c r="AQ12">
        <v>6</v>
      </c>
      <c r="AR12">
        <v>0.1</v>
      </c>
      <c r="AS12">
        <v>100</v>
      </c>
      <c r="AT12">
        <v>-0.2</v>
      </c>
      <c r="AU12">
        <v>0.3</v>
      </c>
      <c r="AV12">
        <v>90</v>
      </c>
      <c r="AW12" t="s">
        <v>114</v>
      </c>
      <c r="AX12" t="s">
        <v>116</v>
      </c>
    </row>
    <row r="13" spans="1:50" x14ac:dyDescent="0.25">
      <c r="D13">
        <v>29.0579</v>
      </c>
      <c r="E13" t="e">
        <f>CRR(D6,D7,D8,D9,D10,D11,D12)</f>
        <v>#VALUE!</v>
      </c>
      <c r="M13">
        <v>7</v>
      </c>
      <c r="N13">
        <v>0.1</v>
      </c>
      <c r="O13">
        <v>100</v>
      </c>
      <c r="P13">
        <v>-0.2</v>
      </c>
      <c r="Q13">
        <v>0.3</v>
      </c>
      <c r="R13">
        <v>90</v>
      </c>
      <c r="S13" t="s">
        <v>111</v>
      </c>
      <c r="T13" t="s">
        <v>109</v>
      </c>
      <c r="U13">
        <f t="shared" si="0"/>
        <v>55.743947875943626</v>
      </c>
      <c r="W13">
        <v>7</v>
      </c>
      <c r="X13">
        <v>0.1</v>
      </c>
      <c r="Y13">
        <v>100</v>
      </c>
      <c r="Z13">
        <v>-0.2</v>
      </c>
      <c r="AA13">
        <v>0.3</v>
      </c>
      <c r="AB13">
        <v>90</v>
      </c>
      <c r="AC13" t="s">
        <v>114</v>
      </c>
      <c r="AD13" t="s">
        <v>109</v>
      </c>
      <c r="AE13">
        <f t="shared" si="1"/>
        <v>5.2084493995931904</v>
      </c>
      <c r="AG13">
        <v>7</v>
      </c>
      <c r="AH13">
        <v>0.1</v>
      </c>
      <c r="AI13">
        <v>100</v>
      </c>
      <c r="AJ13">
        <v>-0.2</v>
      </c>
      <c r="AK13">
        <v>0.3</v>
      </c>
      <c r="AL13">
        <v>90</v>
      </c>
      <c r="AM13" t="s">
        <v>111</v>
      </c>
      <c r="AN13" t="s">
        <v>116</v>
      </c>
      <c r="AO13">
        <f t="shared" si="2"/>
        <v>55.743947875943626</v>
      </c>
      <c r="AQ13">
        <v>7</v>
      </c>
      <c r="AR13">
        <v>0.1</v>
      </c>
      <c r="AS13">
        <v>100</v>
      </c>
      <c r="AT13">
        <v>-0.2</v>
      </c>
      <c r="AU13">
        <v>0.3</v>
      </c>
      <c r="AV13">
        <v>90</v>
      </c>
      <c r="AW13" t="s">
        <v>114</v>
      </c>
      <c r="AX13" t="s">
        <v>116</v>
      </c>
    </row>
    <row r="14" spans="1:50" x14ac:dyDescent="0.25">
      <c r="M14">
        <v>8</v>
      </c>
      <c r="N14">
        <v>0.1</v>
      </c>
      <c r="O14">
        <v>100</v>
      </c>
      <c r="P14">
        <v>-0.2</v>
      </c>
      <c r="Q14">
        <v>0.3</v>
      </c>
      <c r="R14">
        <v>90</v>
      </c>
      <c r="S14" t="s">
        <v>111</v>
      </c>
      <c r="T14" t="s">
        <v>109</v>
      </c>
      <c r="U14">
        <f t="shared" si="0"/>
        <v>60.187669886271543</v>
      </c>
      <c r="W14">
        <v>8</v>
      </c>
      <c r="X14">
        <v>0.1</v>
      </c>
      <c r="Y14">
        <v>100</v>
      </c>
      <c r="Z14">
        <v>-0.2</v>
      </c>
      <c r="AA14">
        <v>0.3</v>
      </c>
      <c r="AB14">
        <v>90</v>
      </c>
      <c r="AC14" t="s">
        <v>114</v>
      </c>
      <c r="AD14" t="s">
        <v>109</v>
      </c>
      <c r="AE14">
        <f t="shared" si="1"/>
        <v>5.4681665187713975</v>
      </c>
      <c r="AG14">
        <v>8</v>
      </c>
      <c r="AH14">
        <v>0.1</v>
      </c>
      <c r="AI14">
        <v>100</v>
      </c>
      <c r="AJ14">
        <v>-0.2</v>
      </c>
      <c r="AK14">
        <v>0.3</v>
      </c>
      <c r="AL14">
        <v>90</v>
      </c>
      <c r="AM14" t="s">
        <v>111</v>
      </c>
      <c r="AN14" t="s">
        <v>116</v>
      </c>
      <c r="AO14">
        <f t="shared" si="2"/>
        <v>60.187669886271543</v>
      </c>
      <c r="AQ14">
        <v>8</v>
      </c>
      <c r="AR14">
        <v>0.1</v>
      </c>
      <c r="AS14">
        <v>100</v>
      </c>
      <c r="AT14">
        <v>-0.2</v>
      </c>
      <c r="AU14">
        <v>0.3</v>
      </c>
      <c r="AV14">
        <v>90</v>
      </c>
      <c r="AW14" t="s">
        <v>114</v>
      </c>
      <c r="AX14" t="s">
        <v>116</v>
      </c>
    </row>
    <row r="15" spans="1:50" x14ac:dyDescent="0.25">
      <c r="M15">
        <v>9</v>
      </c>
      <c r="N15">
        <v>0.1</v>
      </c>
      <c r="O15">
        <v>100</v>
      </c>
      <c r="P15">
        <v>-0.2</v>
      </c>
      <c r="Q15">
        <v>0.3</v>
      </c>
      <c r="R15">
        <v>90</v>
      </c>
      <c r="S15" t="s">
        <v>111</v>
      </c>
      <c r="T15" t="s">
        <v>109</v>
      </c>
      <c r="U15">
        <f t="shared" si="0"/>
        <v>63.454777835596232</v>
      </c>
      <c r="W15">
        <v>9</v>
      </c>
      <c r="X15">
        <v>0.1</v>
      </c>
      <c r="Y15">
        <v>100</v>
      </c>
      <c r="Z15">
        <v>-0.2</v>
      </c>
      <c r="AA15">
        <v>0.3</v>
      </c>
      <c r="AB15">
        <v>90</v>
      </c>
      <c r="AC15" t="s">
        <v>114</v>
      </c>
      <c r="AD15" t="s">
        <v>109</v>
      </c>
      <c r="AE15">
        <f t="shared" si="1"/>
        <v>5.4681665187713975</v>
      </c>
      <c r="AG15">
        <v>9</v>
      </c>
      <c r="AH15">
        <v>0.1</v>
      </c>
      <c r="AI15">
        <v>100</v>
      </c>
      <c r="AJ15">
        <v>-0.2</v>
      </c>
      <c r="AK15">
        <v>0.3</v>
      </c>
      <c r="AL15">
        <v>90</v>
      </c>
      <c r="AM15" t="s">
        <v>111</v>
      </c>
      <c r="AN15" t="s">
        <v>116</v>
      </c>
      <c r="AO15">
        <f t="shared" si="2"/>
        <v>63.454777835596232</v>
      </c>
      <c r="AQ15">
        <v>9</v>
      </c>
      <c r="AR15">
        <v>0.1</v>
      </c>
      <c r="AS15">
        <v>100</v>
      </c>
      <c r="AT15">
        <v>-0.2</v>
      </c>
      <c r="AU15">
        <v>0.3</v>
      </c>
      <c r="AV15">
        <v>90</v>
      </c>
      <c r="AW15" t="s">
        <v>114</v>
      </c>
      <c r="AX15" t="s">
        <v>116</v>
      </c>
    </row>
    <row r="16" spans="1:50" x14ac:dyDescent="0.25">
      <c r="A16" t="s">
        <v>113</v>
      </c>
      <c r="D16" t="s">
        <v>43</v>
      </c>
      <c r="E16">
        <v>5</v>
      </c>
      <c r="F16">
        <v>5</v>
      </c>
      <c r="G16">
        <v>5</v>
      </c>
      <c r="H16">
        <v>5</v>
      </c>
      <c r="M16">
        <v>10</v>
      </c>
      <c r="N16">
        <v>0.1</v>
      </c>
      <c r="O16">
        <v>100</v>
      </c>
      <c r="P16">
        <v>-0.2</v>
      </c>
      <c r="Q16">
        <v>0.3</v>
      </c>
      <c r="R16">
        <v>90</v>
      </c>
      <c r="S16" t="s">
        <v>111</v>
      </c>
      <c r="T16" t="s">
        <v>109</v>
      </c>
      <c r="U16">
        <f t="shared" si="0"/>
        <v>66.970064865207789</v>
      </c>
      <c r="W16">
        <v>10</v>
      </c>
      <c r="X16">
        <v>0.1</v>
      </c>
      <c r="Y16">
        <v>100</v>
      </c>
      <c r="Z16">
        <v>-0.2</v>
      </c>
      <c r="AA16">
        <v>0.3</v>
      </c>
      <c r="AB16">
        <v>90</v>
      </c>
      <c r="AC16" t="s">
        <v>114</v>
      </c>
      <c r="AD16" t="s">
        <v>109</v>
      </c>
      <c r="AE16">
        <f t="shared" si="1"/>
        <v>5.5982131505796708</v>
      </c>
      <c r="AG16">
        <v>10</v>
      </c>
      <c r="AH16">
        <v>0.1</v>
      </c>
      <c r="AI16">
        <v>100</v>
      </c>
      <c r="AJ16">
        <v>-0.2</v>
      </c>
      <c r="AK16">
        <v>0.3</v>
      </c>
      <c r="AL16">
        <v>90</v>
      </c>
      <c r="AM16" t="s">
        <v>111</v>
      </c>
      <c r="AN16" t="s">
        <v>116</v>
      </c>
      <c r="AO16">
        <f t="shared" si="2"/>
        <v>66.970064865207789</v>
      </c>
      <c r="AQ16">
        <v>10</v>
      </c>
      <c r="AR16">
        <v>0.1</v>
      </c>
      <c r="AS16">
        <v>100</v>
      </c>
      <c r="AT16">
        <v>-0.2</v>
      </c>
      <c r="AU16">
        <v>0.3</v>
      </c>
      <c r="AV16">
        <v>90</v>
      </c>
      <c r="AW16" t="s">
        <v>114</v>
      </c>
      <c r="AX16" t="s">
        <v>116</v>
      </c>
    </row>
    <row r="17" spans="4:50" x14ac:dyDescent="0.25">
      <c r="D17" t="s">
        <v>28</v>
      </c>
      <c r="E17">
        <v>0.03</v>
      </c>
      <c r="F17">
        <v>0.03</v>
      </c>
      <c r="G17">
        <v>0.03</v>
      </c>
      <c r="H17">
        <v>0.03</v>
      </c>
      <c r="M17">
        <v>11</v>
      </c>
      <c r="N17">
        <v>0.1</v>
      </c>
      <c r="O17">
        <v>100</v>
      </c>
      <c r="P17">
        <v>-0.2</v>
      </c>
      <c r="Q17">
        <v>0.3</v>
      </c>
      <c r="R17">
        <v>90</v>
      </c>
      <c r="S17" t="s">
        <v>111</v>
      </c>
      <c r="T17" t="s">
        <v>109</v>
      </c>
      <c r="U17">
        <f t="shared" si="0"/>
        <v>69.772009984345445</v>
      </c>
      <c r="W17">
        <v>11</v>
      </c>
      <c r="X17">
        <v>0.1</v>
      </c>
      <c r="Y17">
        <v>100</v>
      </c>
      <c r="Z17">
        <v>-0.2</v>
      </c>
      <c r="AA17">
        <v>0.3</v>
      </c>
      <c r="AB17">
        <v>90</v>
      </c>
      <c r="AC17" t="s">
        <v>114</v>
      </c>
      <c r="AD17" t="s">
        <v>109</v>
      </c>
      <c r="AE17">
        <f t="shared" si="1"/>
        <v>5.5982131505796708</v>
      </c>
      <c r="AG17">
        <v>11</v>
      </c>
      <c r="AH17">
        <v>0.1</v>
      </c>
      <c r="AI17">
        <v>100</v>
      </c>
      <c r="AJ17">
        <v>-0.2</v>
      </c>
      <c r="AK17">
        <v>0.3</v>
      </c>
      <c r="AL17">
        <v>90</v>
      </c>
      <c r="AM17" t="s">
        <v>111</v>
      </c>
      <c r="AN17" t="s">
        <v>116</v>
      </c>
      <c r="AO17">
        <f t="shared" si="2"/>
        <v>69.772009984345445</v>
      </c>
      <c r="AQ17">
        <v>11</v>
      </c>
      <c r="AR17">
        <v>0.1</v>
      </c>
      <c r="AS17">
        <v>100</v>
      </c>
      <c r="AT17">
        <v>-0.2</v>
      </c>
      <c r="AU17">
        <v>0.3</v>
      </c>
      <c r="AV17">
        <v>90</v>
      </c>
      <c r="AW17" t="s">
        <v>114</v>
      </c>
      <c r="AX17" t="s">
        <v>116</v>
      </c>
    </row>
    <row r="18" spans="4:50" x14ac:dyDescent="0.25">
      <c r="D18" t="s">
        <v>108</v>
      </c>
      <c r="E18">
        <v>80</v>
      </c>
      <c r="F18">
        <v>80</v>
      </c>
      <c r="G18">
        <v>80</v>
      </c>
      <c r="H18">
        <v>80</v>
      </c>
      <c r="M18">
        <v>12</v>
      </c>
      <c r="N18">
        <v>0.1</v>
      </c>
      <c r="O18">
        <v>100</v>
      </c>
      <c r="P18">
        <v>-0.2</v>
      </c>
      <c r="Q18">
        <v>0.3</v>
      </c>
      <c r="R18">
        <v>90</v>
      </c>
      <c r="S18" t="s">
        <v>111</v>
      </c>
      <c r="T18" t="s">
        <v>109</v>
      </c>
      <c r="U18">
        <f t="shared" si="0"/>
        <v>72.582347570261263</v>
      </c>
      <c r="W18">
        <v>12</v>
      </c>
      <c r="X18">
        <v>0.1</v>
      </c>
      <c r="Y18">
        <v>100</v>
      </c>
      <c r="Z18">
        <v>-0.2</v>
      </c>
      <c r="AA18">
        <v>0.3</v>
      </c>
      <c r="AB18">
        <v>90</v>
      </c>
      <c r="AC18" t="s">
        <v>114</v>
      </c>
      <c r="AD18" t="s">
        <v>109</v>
      </c>
      <c r="AE18">
        <f t="shared" si="1"/>
        <v>5.6632335389554473</v>
      </c>
      <c r="AG18">
        <v>12</v>
      </c>
      <c r="AH18">
        <v>0.1</v>
      </c>
      <c r="AI18">
        <v>100</v>
      </c>
      <c r="AJ18">
        <v>-0.2</v>
      </c>
      <c r="AK18">
        <v>0.3</v>
      </c>
      <c r="AL18">
        <v>90</v>
      </c>
      <c r="AM18" t="s">
        <v>111</v>
      </c>
      <c r="AN18" t="s">
        <v>116</v>
      </c>
      <c r="AO18">
        <f t="shared" si="2"/>
        <v>72.582347570261263</v>
      </c>
      <c r="AQ18">
        <v>12</v>
      </c>
      <c r="AR18">
        <v>0.1</v>
      </c>
      <c r="AS18">
        <v>100</v>
      </c>
      <c r="AT18">
        <v>-0.2</v>
      </c>
      <c r="AU18">
        <v>0.3</v>
      </c>
      <c r="AV18">
        <v>90</v>
      </c>
      <c r="AW18" t="s">
        <v>114</v>
      </c>
      <c r="AX18" t="s">
        <v>116</v>
      </c>
    </row>
    <row r="19" spans="4:50" x14ac:dyDescent="0.25">
      <c r="D19" t="s">
        <v>109</v>
      </c>
      <c r="E19">
        <v>-0.1</v>
      </c>
      <c r="F19">
        <v>-0.1</v>
      </c>
      <c r="G19">
        <v>-0.1</v>
      </c>
      <c r="H19">
        <v>-0.1</v>
      </c>
      <c r="M19">
        <v>13</v>
      </c>
      <c r="N19">
        <v>0.1</v>
      </c>
      <c r="O19">
        <v>100</v>
      </c>
      <c r="P19">
        <v>-0.2</v>
      </c>
      <c r="Q19">
        <v>0.3</v>
      </c>
      <c r="R19">
        <v>90</v>
      </c>
      <c r="S19" t="s">
        <v>111</v>
      </c>
      <c r="T19" t="s">
        <v>109</v>
      </c>
      <c r="U19">
        <f t="shared" si="0"/>
        <v>74.973729329065293</v>
      </c>
      <c r="W19">
        <v>13</v>
      </c>
      <c r="X19">
        <v>0.1</v>
      </c>
      <c r="Y19">
        <v>100</v>
      </c>
      <c r="Z19">
        <v>-0.2</v>
      </c>
      <c r="AA19">
        <v>0.3</v>
      </c>
      <c r="AB19">
        <v>90</v>
      </c>
      <c r="AC19" t="s">
        <v>114</v>
      </c>
      <c r="AD19" t="s">
        <v>109</v>
      </c>
      <c r="AE19">
        <f t="shared" si="1"/>
        <v>5.6632335389554473</v>
      </c>
      <c r="AG19">
        <v>13</v>
      </c>
      <c r="AH19">
        <v>0.1</v>
      </c>
      <c r="AI19">
        <v>100</v>
      </c>
      <c r="AJ19">
        <v>-0.2</v>
      </c>
      <c r="AK19">
        <v>0.3</v>
      </c>
      <c r="AL19">
        <v>90</v>
      </c>
      <c r="AM19" t="s">
        <v>111</v>
      </c>
      <c r="AN19" t="s">
        <v>116</v>
      </c>
      <c r="AO19">
        <f t="shared" si="2"/>
        <v>74.973729329065293</v>
      </c>
      <c r="AQ19">
        <v>13</v>
      </c>
      <c r="AR19">
        <v>0.1</v>
      </c>
      <c r="AS19">
        <v>100</v>
      </c>
      <c r="AT19">
        <v>-0.2</v>
      </c>
      <c r="AU19">
        <v>0.3</v>
      </c>
      <c r="AV19">
        <v>90</v>
      </c>
      <c r="AW19" t="s">
        <v>114</v>
      </c>
      <c r="AX19" t="s">
        <v>116</v>
      </c>
    </row>
    <row r="20" spans="4:50" x14ac:dyDescent="0.25">
      <c r="D20" t="s">
        <v>110</v>
      </c>
      <c r="E20">
        <v>0.15</v>
      </c>
      <c r="F20">
        <v>0.15</v>
      </c>
      <c r="G20">
        <v>0.15</v>
      </c>
      <c r="H20">
        <v>0.15</v>
      </c>
      <c r="M20">
        <v>14</v>
      </c>
      <c r="N20">
        <v>0.1</v>
      </c>
      <c r="O20">
        <v>100</v>
      </c>
      <c r="P20">
        <v>-0.2</v>
      </c>
      <c r="Q20">
        <v>0.3</v>
      </c>
      <c r="R20">
        <v>90</v>
      </c>
      <c r="S20" t="s">
        <v>111</v>
      </c>
      <c r="T20" t="s">
        <v>109</v>
      </c>
      <c r="U20">
        <f t="shared" si="0"/>
        <v>77.236854156210498</v>
      </c>
      <c r="W20">
        <v>14</v>
      </c>
      <c r="X20">
        <v>0.1</v>
      </c>
      <c r="Y20">
        <v>100</v>
      </c>
      <c r="Z20">
        <v>-0.2</v>
      </c>
      <c r="AA20">
        <v>0.3</v>
      </c>
      <c r="AB20">
        <v>90</v>
      </c>
      <c r="AC20" t="s">
        <v>114</v>
      </c>
      <c r="AD20" t="s">
        <v>109</v>
      </c>
      <c r="AE20">
        <f t="shared" si="1"/>
        <v>5.6943889570303048</v>
      </c>
      <c r="AG20">
        <v>14</v>
      </c>
      <c r="AH20">
        <v>0.1</v>
      </c>
      <c r="AI20">
        <v>100</v>
      </c>
      <c r="AJ20">
        <v>-0.2</v>
      </c>
      <c r="AK20">
        <v>0.3</v>
      </c>
      <c r="AL20">
        <v>90</v>
      </c>
      <c r="AM20" t="s">
        <v>111</v>
      </c>
      <c r="AN20" t="s">
        <v>116</v>
      </c>
      <c r="AO20">
        <f t="shared" si="2"/>
        <v>77.236854156210498</v>
      </c>
      <c r="AQ20">
        <v>14</v>
      </c>
      <c r="AR20">
        <v>0.1</v>
      </c>
      <c r="AS20">
        <v>100</v>
      </c>
      <c r="AT20">
        <v>-0.2</v>
      </c>
      <c r="AU20">
        <v>0.3</v>
      </c>
      <c r="AV20">
        <v>90</v>
      </c>
      <c r="AW20" t="s">
        <v>114</v>
      </c>
      <c r="AX20" t="s">
        <v>116</v>
      </c>
    </row>
    <row r="21" spans="4:50" x14ac:dyDescent="0.25">
      <c r="D21" t="s">
        <v>54</v>
      </c>
      <c r="E21">
        <v>100</v>
      </c>
      <c r="F21">
        <v>100</v>
      </c>
      <c r="G21">
        <v>100</v>
      </c>
      <c r="H21">
        <v>100</v>
      </c>
      <c r="M21">
        <v>15</v>
      </c>
      <c r="N21">
        <v>0.1</v>
      </c>
      <c r="O21">
        <v>100</v>
      </c>
      <c r="P21">
        <v>-0.2</v>
      </c>
      <c r="Q21">
        <v>0.3</v>
      </c>
      <c r="R21">
        <v>90</v>
      </c>
      <c r="S21" t="s">
        <v>111</v>
      </c>
      <c r="T21" t="s">
        <v>109</v>
      </c>
      <c r="U21">
        <f t="shared" si="0"/>
        <v>79.269353645824964</v>
      </c>
      <c r="W21">
        <v>15</v>
      </c>
      <c r="X21">
        <v>0.1</v>
      </c>
      <c r="Y21">
        <v>100</v>
      </c>
      <c r="Z21">
        <v>-0.2</v>
      </c>
      <c r="AA21">
        <v>0.3</v>
      </c>
      <c r="AB21">
        <v>90</v>
      </c>
      <c r="AC21" t="s">
        <v>114</v>
      </c>
      <c r="AD21" t="s">
        <v>109</v>
      </c>
      <c r="AE21">
        <f t="shared" si="1"/>
        <v>5.6949062243335771</v>
      </c>
      <c r="AG21">
        <v>15</v>
      </c>
      <c r="AH21">
        <v>0.1</v>
      </c>
      <c r="AI21">
        <v>100</v>
      </c>
      <c r="AJ21">
        <v>-0.2</v>
      </c>
      <c r="AK21">
        <v>0.3</v>
      </c>
      <c r="AL21">
        <v>90</v>
      </c>
      <c r="AM21" t="s">
        <v>111</v>
      </c>
      <c r="AN21" t="s">
        <v>116</v>
      </c>
      <c r="AO21">
        <f t="shared" si="2"/>
        <v>79.269353645824964</v>
      </c>
      <c r="AQ21">
        <v>15</v>
      </c>
      <c r="AR21">
        <v>0.1</v>
      </c>
      <c r="AS21">
        <v>100</v>
      </c>
      <c r="AT21">
        <v>-0.2</v>
      </c>
      <c r="AU21">
        <v>0.3</v>
      </c>
      <c r="AV21">
        <v>90</v>
      </c>
      <c r="AW21" t="s">
        <v>114</v>
      </c>
      <c r="AX21" t="s">
        <v>116</v>
      </c>
    </row>
    <row r="22" spans="4:50" x14ac:dyDescent="0.25">
      <c r="D22" t="s">
        <v>112</v>
      </c>
      <c r="E22" t="s">
        <v>111</v>
      </c>
      <c r="F22" t="s">
        <v>111</v>
      </c>
      <c r="G22" t="s">
        <v>114</v>
      </c>
      <c r="H22" t="s">
        <v>114</v>
      </c>
      <c r="M22">
        <v>16</v>
      </c>
      <c r="N22">
        <v>0.1</v>
      </c>
      <c r="O22">
        <v>100</v>
      </c>
      <c r="P22">
        <v>-0.2</v>
      </c>
      <c r="Q22">
        <v>0.3</v>
      </c>
      <c r="R22">
        <v>90</v>
      </c>
      <c r="S22" t="s">
        <v>111</v>
      </c>
      <c r="T22" t="s">
        <v>109</v>
      </c>
      <c r="U22">
        <f t="shared" si="0"/>
        <v>81.101254636662517</v>
      </c>
      <c r="W22">
        <v>16</v>
      </c>
      <c r="X22">
        <v>0.1</v>
      </c>
      <c r="Y22">
        <v>100</v>
      </c>
      <c r="Z22">
        <v>-0.2</v>
      </c>
      <c r="AA22">
        <v>0.3</v>
      </c>
      <c r="AB22">
        <v>90</v>
      </c>
      <c r="AC22" t="s">
        <v>114</v>
      </c>
      <c r="AD22" t="s">
        <v>109</v>
      </c>
      <c r="AE22">
        <f t="shared" si="1"/>
        <v>5.7132181067498431</v>
      </c>
      <c r="AG22">
        <v>16</v>
      </c>
      <c r="AH22">
        <v>0.1</v>
      </c>
      <c r="AI22">
        <v>100</v>
      </c>
      <c r="AJ22">
        <v>-0.2</v>
      </c>
      <c r="AK22">
        <v>0.3</v>
      </c>
      <c r="AL22">
        <v>90</v>
      </c>
      <c r="AM22" t="s">
        <v>111</v>
      </c>
      <c r="AN22" t="s">
        <v>116</v>
      </c>
      <c r="AO22">
        <f t="shared" si="2"/>
        <v>81.101254636662517</v>
      </c>
      <c r="AQ22">
        <v>16</v>
      </c>
      <c r="AR22">
        <v>0.1</v>
      </c>
      <c r="AS22">
        <v>100</v>
      </c>
      <c r="AT22">
        <v>-0.2</v>
      </c>
      <c r="AU22">
        <v>0.3</v>
      </c>
      <c r="AV22">
        <v>90</v>
      </c>
      <c r="AW22" t="s">
        <v>114</v>
      </c>
      <c r="AX22" t="s">
        <v>116</v>
      </c>
    </row>
    <row r="23" spans="4:50" x14ac:dyDescent="0.25">
      <c r="D23" t="s">
        <v>115</v>
      </c>
      <c r="E23" t="s">
        <v>109</v>
      </c>
      <c r="F23" t="s">
        <v>116</v>
      </c>
      <c r="G23" t="s">
        <v>109</v>
      </c>
      <c r="H23" t="s">
        <v>116</v>
      </c>
      <c r="M23">
        <v>17</v>
      </c>
      <c r="N23">
        <v>0.1</v>
      </c>
      <c r="O23">
        <v>100</v>
      </c>
      <c r="P23">
        <v>-0.2</v>
      </c>
      <c r="Q23">
        <v>0.3</v>
      </c>
      <c r="R23">
        <v>90</v>
      </c>
      <c r="S23" t="s">
        <v>111</v>
      </c>
      <c r="T23" t="s">
        <v>109</v>
      </c>
      <c r="U23">
        <f t="shared" si="0"/>
        <v>82.822714439610678</v>
      </c>
      <c r="W23">
        <v>17</v>
      </c>
      <c r="X23">
        <v>0.1</v>
      </c>
      <c r="Y23">
        <v>100</v>
      </c>
      <c r="Z23">
        <v>-0.2</v>
      </c>
      <c r="AA23">
        <v>0.3</v>
      </c>
      <c r="AB23">
        <v>90</v>
      </c>
      <c r="AC23" t="s">
        <v>114</v>
      </c>
      <c r="AD23" t="s">
        <v>109</v>
      </c>
      <c r="AE23">
        <f t="shared" si="1"/>
        <v>5.7215135091764271</v>
      </c>
      <c r="AG23">
        <v>17</v>
      </c>
      <c r="AH23">
        <v>0.1</v>
      </c>
      <c r="AI23">
        <v>100</v>
      </c>
      <c r="AJ23">
        <v>-0.2</v>
      </c>
      <c r="AK23">
        <v>0.3</v>
      </c>
      <c r="AL23">
        <v>90</v>
      </c>
      <c r="AM23" t="s">
        <v>111</v>
      </c>
      <c r="AN23" t="s">
        <v>116</v>
      </c>
      <c r="AO23">
        <f t="shared" si="2"/>
        <v>82.822714439610678</v>
      </c>
      <c r="AQ23">
        <v>17</v>
      </c>
      <c r="AR23">
        <v>0.1</v>
      </c>
      <c r="AS23">
        <v>100</v>
      </c>
      <c r="AT23">
        <v>-0.2</v>
      </c>
      <c r="AU23">
        <v>0.3</v>
      </c>
      <c r="AV23">
        <v>90</v>
      </c>
      <c r="AW23" t="s">
        <v>114</v>
      </c>
      <c r="AX23" t="s">
        <v>116</v>
      </c>
    </row>
    <row r="24" spans="4:50" x14ac:dyDescent="0.25">
      <c r="E24">
        <f>CRR(E16,E17,E18,E19,E20,E21,E22,E23)</f>
        <v>5.9223798832798842</v>
      </c>
      <c r="F24">
        <f>CRR(F16,F17,F18,F19,F20,F21,F22,F23)</f>
        <v>5.9223798832798842</v>
      </c>
      <c r="G24">
        <f t="shared" ref="G24:H24" si="3">CRR(G16,G17,G18,G19,G20,G21,G22,G23)</f>
        <v>20</v>
      </c>
      <c r="H24">
        <f t="shared" si="3"/>
        <v>12.183258321696288</v>
      </c>
      <c r="M24">
        <v>18</v>
      </c>
      <c r="N24">
        <v>0.1</v>
      </c>
      <c r="O24">
        <v>100</v>
      </c>
      <c r="P24">
        <v>-0.2</v>
      </c>
      <c r="Q24">
        <v>0.3</v>
      </c>
      <c r="R24">
        <v>90</v>
      </c>
      <c r="S24" t="s">
        <v>111</v>
      </c>
      <c r="T24" t="s">
        <v>109</v>
      </c>
      <c r="U24">
        <f t="shared" si="0"/>
        <v>84.311254254416255</v>
      </c>
      <c r="W24">
        <v>18</v>
      </c>
      <c r="X24">
        <v>0.1</v>
      </c>
      <c r="Y24">
        <v>100</v>
      </c>
      <c r="Z24">
        <v>-0.2</v>
      </c>
      <c r="AA24">
        <v>0.3</v>
      </c>
      <c r="AB24">
        <v>90</v>
      </c>
      <c r="AC24" t="s">
        <v>114</v>
      </c>
      <c r="AD24" t="s">
        <v>109</v>
      </c>
      <c r="AE24">
        <f t="shared" si="1"/>
        <v>5.7274796627772657</v>
      </c>
      <c r="AG24">
        <v>18</v>
      </c>
      <c r="AH24">
        <v>0.1</v>
      </c>
      <c r="AI24">
        <v>100</v>
      </c>
      <c r="AJ24">
        <v>-0.2</v>
      </c>
      <c r="AK24">
        <v>0.3</v>
      </c>
      <c r="AL24">
        <v>90</v>
      </c>
      <c r="AM24" t="s">
        <v>111</v>
      </c>
      <c r="AN24" t="s">
        <v>116</v>
      </c>
      <c r="AO24">
        <f t="shared" si="2"/>
        <v>84.311254254416255</v>
      </c>
      <c r="AQ24">
        <v>18</v>
      </c>
      <c r="AR24">
        <v>0.1</v>
      </c>
      <c r="AS24">
        <v>100</v>
      </c>
      <c r="AT24">
        <v>-0.2</v>
      </c>
      <c r="AU24">
        <v>0.3</v>
      </c>
      <c r="AV24">
        <v>90</v>
      </c>
      <c r="AW24" t="s">
        <v>114</v>
      </c>
      <c r="AX24" t="s">
        <v>116</v>
      </c>
    </row>
    <row r="25" spans="4:50" x14ac:dyDescent="0.25">
      <c r="M25">
        <v>19</v>
      </c>
      <c r="N25">
        <v>0.1</v>
      </c>
      <c r="O25">
        <v>100</v>
      </c>
      <c r="P25">
        <v>-0.2</v>
      </c>
      <c r="Q25">
        <v>0.3</v>
      </c>
      <c r="R25">
        <v>90</v>
      </c>
      <c r="S25" t="s">
        <v>111</v>
      </c>
      <c r="T25" t="s">
        <v>109</v>
      </c>
      <c r="U25">
        <f t="shared" si="0"/>
        <v>85.765018478523572</v>
      </c>
      <c r="W25">
        <v>19</v>
      </c>
      <c r="X25">
        <v>0.1</v>
      </c>
      <c r="Y25">
        <v>100</v>
      </c>
      <c r="Z25">
        <v>-0.2</v>
      </c>
      <c r="AA25">
        <v>0.3</v>
      </c>
      <c r="AB25">
        <v>90</v>
      </c>
      <c r="AC25" t="s">
        <v>114</v>
      </c>
      <c r="AD25" t="s">
        <v>109</v>
      </c>
      <c r="AE25">
        <f t="shared" si="1"/>
        <v>5.7394423081314212</v>
      </c>
      <c r="AG25">
        <v>19</v>
      </c>
      <c r="AH25">
        <v>0.1</v>
      </c>
      <c r="AI25">
        <v>100</v>
      </c>
      <c r="AJ25">
        <v>-0.2</v>
      </c>
      <c r="AK25">
        <v>0.3</v>
      </c>
      <c r="AL25">
        <v>90</v>
      </c>
      <c r="AM25" t="s">
        <v>111</v>
      </c>
      <c r="AN25" t="s">
        <v>116</v>
      </c>
      <c r="AO25">
        <f t="shared" si="2"/>
        <v>85.765018478523572</v>
      </c>
      <c r="AQ25">
        <v>19</v>
      </c>
      <c r="AR25">
        <v>0.1</v>
      </c>
      <c r="AS25">
        <v>100</v>
      </c>
      <c r="AT25">
        <v>-0.2</v>
      </c>
      <c r="AU25">
        <v>0.3</v>
      </c>
      <c r="AV25">
        <v>90</v>
      </c>
      <c r="AW25" t="s">
        <v>114</v>
      </c>
      <c r="AX25" t="s">
        <v>116</v>
      </c>
    </row>
    <row r="26" spans="4:50" x14ac:dyDescent="0.25">
      <c r="M26">
        <v>20</v>
      </c>
      <c r="N26">
        <v>0.1</v>
      </c>
      <c r="O26">
        <v>100</v>
      </c>
      <c r="P26">
        <v>-0.2</v>
      </c>
      <c r="Q26">
        <v>0.3</v>
      </c>
      <c r="R26">
        <v>90</v>
      </c>
      <c r="S26" t="s">
        <v>111</v>
      </c>
      <c r="T26" t="s">
        <v>109</v>
      </c>
      <c r="U26">
        <f t="shared" si="0"/>
        <v>86.989636683812009</v>
      </c>
      <c r="W26">
        <v>20</v>
      </c>
      <c r="X26">
        <v>0.1</v>
      </c>
      <c r="Y26">
        <v>100</v>
      </c>
      <c r="Z26">
        <v>-0.2</v>
      </c>
      <c r="AA26">
        <v>0.3</v>
      </c>
      <c r="AB26">
        <v>90</v>
      </c>
      <c r="AC26" t="s">
        <v>114</v>
      </c>
      <c r="AD26" t="s">
        <v>109</v>
      </c>
      <c r="AE26">
        <f t="shared" si="1"/>
        <v>5.7394423081314212</v>
      </c>
      <c r="AG26">
        <v>20</v>
      </c>
      <c r="AH26">
        <v>0.1</v>
      </c>
      <c r="AI26">
        <v>100</v>
      </c>
      <c r="AJ26">
        <v>-0.2</v>
      </c>
      <c r="AK26">
        <v>0.3</v>
      </c>
      <c r="AL26">
        <v>90</v>
      </c>
      <c r="AM26" t="s">
        <v>111</v>
      </c>
      <c r="AN26" t="s">
        <v>116</v>
      </c>
      <c r="AO26">
        <f t="shared" si="2"/>
        <v>86.989636683812009</v>
      </c>
      <c r="AQ26">
        <v>20</v>
      </c>
      <c r="AR26">
        <v>0.1</v>
      </c>
      <c r="AS26">
        <v>100</v>
      </c>
      <c r="AT26">
        <v>-0.2</v>
      </c>
      <c r="AU26">
        <v>0.3</v>
      </c>
      <c r="AV26">
        <v>90</v>
      </c>
      <c r="AW26" t="s">
        <v>114</v>
      </c>
      <c r="AX26" t="s">
        <v>116</v>
      </c>
    </row>
    <row r="27" spans="4:50" x14ac:dyDescent="0.25">
      <c r="M27">
        <v>21</v>
      </c>
      <c r="N27">
        <v>0.1</v>
      </c>
      <c r="O27">
        <v>100</v>
      </c>
      <c r="P27">
        <v>-0.2</v>
      </c>
      <c r="Q27">
        <v>0.3</v>
      </c>
      <c r="R27">
        <v>90</v>
      </c>
      <c r="S27" t="s">
        <v>111</v>
      </c>
      <c r="T27" t="s">
        <v>109</v>
      </c>
      <c r="U27">
        <f t="shared" si="0"/>
        <v>88.202787380490264</v>
      </c>
      <c r="W27">
        <v>21</v>
      </c>
      <c r="X27">
        <v>0.1</v>
      </c>
      <c r="Y27">
        <v>100</v>
      </c>
      <c r="Z27">
        <v>-0.2</v>
      </c>
      <c r="AA27">
        <v>0.3</v>
      </c>
      <c r="AB27">
        <v>90</v>
      </c>
      <c r="AC27" t="s">
        <v>114</v>
      </c>
      <c r="AD27" t="s">
        <v>109</v>
      </c>
      <c r="AE27">
        <f t="shared" si="1"/>
        <v>5.7505984540731232</v>
      </c>
      <c r="AG27">
        <v>21</v>
      </c>
      <c r="AH27">
        <v>0.1</v>
      </c>
      <c r="AI27">
        <v>100</v>
      </c>
      <c r="AJ27">
        <v>-0.2</v>
      </c>
      <c r="AK27">
        <v>0.3</v>
      </c>
      <c r="AL27">
        <v>90</v>
      </c>
      <c r="AM27" t="s">
        <v>111</v>
      </c>
      <c r="AN27" t="s">
        <v>116</v>
      </c>
      <c r="AO27">
        <f t="shared" si="2"/>
        <v>88.202787380490264</v>
      </c>
      <c r="AQ27">
        <v>21</v>
      </c>
      <c r="AR27">
        <v>0.1</v>
      </c>
      <c r="AS27">
        <v>100</v>
      </c>
      <c r="AT27">
        <v>-0.2</v>
      </c>
      <c r="AU27">
        <v>0.3</v>
      </c>
      <c r="AV27">
        <v>90</v>
      </c>
      <c r="AW27" t="s">
        <v>114</v>
      </c>
      <c r="AX27" t="s">
        <v>116</v>
      </c>
    </row>
    <row r="28" spans="4:50" x14ac:dyDescent="0.25">
      <c r="M28">
        <v>22</v>
      </c>
      <c r="N28">
        <v>0.1</v>
      </c>
      <c r="O28">
        <v>100</v>
      </c>
      <c r="P28">
        <v>-0.2</v>
      </c>
      <c r="Q28">
        <v>0.3</v>
      </c>
      <c r="R28">
        <v>90</v>
      </c>
      <c r="S28" t="s">
        <v>111</v>
      </c>
      <c r="T28" t="s">
        <v>109</v>
      </c>
      <c r="U28">
        <f t="shared" si="0"/>
        <v>89.231854288253473</v>
      </c>
      <c r="W28">
        <v>22</v>
      </c>
      <c r="X28">
        <v>0.1</v>
      </c>
      <c r="Y28">
        <v>100</v>
      </c>
      <c r="Z28">
        <v>-0.2</v>
      </c>
      <c r="AA28">
        <v>0.3</v>
      </c>
      <c r="AB28">
        <v>90</v>
      </c>
      <c r="AC28" t="s">
        <v>114</v>
      </c>
      <c r="AD28" t="s">
        <v>109</v>
      </c>
      <c r="AE28">
        <f t="shared" si="1"/>
        <v>5.7505984540731232</v>
      </c>
      <c r="AG28">
        <v>22</v>
      </c>
      <c r="AH28">
        <v>0.1</v>
      </c>
      <c r="AI28">
        <v>100</v>
      </c>
      <c r="AJ28">
        <v>-0.2</v>
      </c>
      <c r="AK28">
        <v>0.3</v>
      </c>
      <c r="AL28">
        <v>90</v>
      </c>
      <c r="AM28" t="s">
        <v>111</v>
      </c>
      <c r="AN28" t="s">
        <v>116</v>
      </c>
      <c r="AO28">
        <f t="shared" si="2"/>
        <v>89.231854288253473</v>
      </c>
      <c r="AQ28">
        <v>22</v>
      </c>
      <c r="AR28">
        <v>0.1</v>
      </c>
      <c r="AS28">
        <v>100</v>
      </c>
      <c r="AT28">
        <v>-0.2</v>
      </c>
      <c r="AU28">
        <v>0.3</v>
      </c>
      <c r="AV28">
        <v>90</v>
      </c>
      <c r="AW28" t="s">
        <v>114</v>
      </c>
      <c r="AX28" t="s">
        <v>116</v>
      </c>
    </row>
    <row r="29" spans="4:50" x14ac:dyDescent="0.25">
      <c r="M29">
        <v>23</v>
      </c>
      <c r="N29">
        <v>0.1</v>
      </c>
      <c r="O29">
        <v>100</v>
      </c>
      <c r="P29">
        <v>-0.2</v>
      </c>
      <c r="Q29">
        <v>0.3</v>
      </c>
      <c r="R29">
        <v>90</v>
      </c>
      <c r="S29" t="s">
        <v>111</v>
      </c>
      <c r="T29" t="s">
        <v>109</v>
      </c>
      <c r="U29">
        <f t="shared" si="0"/>
        <v>90.22321539633792</v>
      </c>
      <c r="W29">
        <v>23</v>
      </c>
      <c r="X29">
        <v>0.1</v>
      </c>
      <c r="Y29">
        <v>100</v>
      </c>
      <c r="Z29">
        <v>-0.2</v>
      </c>
      <c r="AA29">
        <v>0.3</v>
      </c>
      <c r="AB29">
        <v>90</v>
      </c>
      <c r="AC29" t="s">
        <v>114</v>
      </c>
      <c r="AD29" t="s">
        <v>109</v>
      </c>
      <c r="AE29">
        <f t="shared" si="1"/>
        <v>5.7572966634693312</v>
      </c>
      <c r="AG29">
        <v>23</v>
      </c>
      <c r="AH29">
        <v>0.1</v>
      </c>
      <c r="AI29">
        <v>100</v>
      </c>
      <c r="AJ29">
        <v>-0.2</v>
      </c>
      <c r="AK29">
        <v>0.3</v>
      </c>
      <c r="AL29">
        <v>90</v>
      </c>
      <c r="AM29" t="s">
        <v>111</v>
      </c>
      <c r="AN29" t="s">
        <v>116</v>
      </c>
      <c r="AO29">
        <f t="shared" si="2"/>
        <v>90.22321539633792</v>
      </c>
      <c r="AQ29">
        <v>23</v>
      </c>
      <c r="AR29">
        <v>0.1</v>
      </c>
      <c r="AS29">
        <v>100</v>
      </c>
      <c r="AT29">
        <v>-0.2</v>
      </c>
      <c r="AU29">
        <v>0.3</v>
      </c>
      <c r="AV29">
        <v>90</v>
      </c>
      <c r="AW29" t="s">
        <v>114</v>
      </c>
      <c r="AX29" t="s">
        <v>116</v>
      </c>
    </row>
    <row r="30" spans="4:50" x14ac:dyDescent="0.25">
      <c r="M30">
        <v>24</v>
      </c>
      <c r="N30">
        <v>0.1</v>
      </c>
      <c r="O30">
        <v>100</v>
      </c>
      <c r="P30">
        <v>-0.2</v>
      </c>
      <c r="Q30">
        <v>0.3</v>
      </c>
      <c r="R30">
        <v>90</v>
      </c>
      <c r="S30" t="s">
        <v>111</v>
      </c>
      <c r="T30" t="s">
        <v>109</v>
      </c>
      <c r="U30">
        <f t="shared" si="0"/>
        <v>91.086725666950116</v>
      </c>
      <c r="W30">
        <v>24</v>
      </c>
      <c r="X30">
        <v>0.1</v>
      </c>
      <c r="Y30">
        <v>100</v>
      </c>
      <c r="Z30">
        <v>-0.2</v>
      </c>
      <c r="AA30">
        <v>0.3</v>
      </c>
      <c r="AB30">
        <v>90</v>
      </c>
      <c r="AC30" t="s">
        <v>114</v>
      </c>
      <c r="AD30" t="s">
        <v>109</v>
      </c>
      <c r="AE30">
        <f t="shared" si="1"/>
        <v>5.7572966634693312</v>
      </c>
      <c r="AG30">
        <v>24</v>
      </c>
      <c r="AH30">
        <v>0.1</v>
      </c>
      <c r="AI30">
        <v>100</v>
      </c>
      <c r="AJ30">
        <v>-0.2</v>
      </c>
      <c r="AK30">
        <v>0.3</v>
      </c>
      <c r="AL30">
        <v>90</v>
      </c>
      <c r="AM30" t="s">
        <v>111</v>
      </c>
      <c r="AN30" t="s">
        <v>116</v>
      </c>
      <c r="AO30">
        <f t="shared" si="2"/>
        <v>91.086725666950116</v>
      </c>
      <c r="AQ30">
        <v>24</v>
      </c>
      <c r="AR30">
        <v>0.1</v>
      </c>
      <c r="AS30">
        <v>100</v>
      </c>
      <c r="AT30">
        <v>-0.2</v>
      </c>
      <c r="AU30">
        <v>0.3</v>
      </c>
      <c r="AV30">
        <v>90</v>
      </c>
      <c r="AW30" t="s">
        <v>114</v>
      </c>
      <c r="AX30" t="s">
        <v>116</v>
      </c>
    </row>
    <row r="31" spans="4:50" x14ac:dyDescent="0.25">
      <c r="M31">
        <v>25</v>
      </c>
      <c r="N31">
        <v>0.1</v>
      </c>
      <c r="O31">
        <v>100</v>
      </c>
      <c r="P31">
        <v>-0.2</v>
      </c>
      <c r="Q31">
        <v>0.3</v>
      </c>
      <c r="R31">
        <v>90</v>
      </c>
      <c r="S31" t="s">
        <v>111</v>
      </c>
      <c r="T31" t="s">
        <v>109</v>
      </c>
      <c r="U31">
        <f t="shared" si="0"/>
        <v>91.898039966284642</v>
      </c>
      <c r="W31">
        <v>25</v>
      </c>
      <c r="X31">
        <v>0.1</v>
      </c>
      <c r="Y31">
        <v>100</v>
      </c>
      <c r="Z31">
        <v>-0.2</v>
      </c>
      <c r="AA31">
        <v>0.3</v>
      </c>
      <c r="AB31">
        <v>90</v>
      </c>
      <c r="AC31" t="s">
        <v>114</v>
      </c>
      <c r="AD31" t="s">
        <v>109</v>
      </c>
      <c r="AE31">
        <f t="shared" si="1"/>
        <v>5.7611169431528397</v>
      </c>
      <c r="AG31">
        <v>25</v>
      </c>
      <c r="AH31">
        <v>0.1</v>
      </c>
      <c r="AI31">
        <v>100</v>
      </c>
      <c r="AJ31">
        <v>-0.2</v>
      </c>
      <c r="AK31">
        <v>0.3</v>
      </c>
      <c r="AL31">
        <v>90</v>
      </c>
      <c r="AM31" t="s">
        <v>111</v>
      </c>
      <c r="AN31" t="s">
        <v>116</v>
      </c>
      <c r="AO31">
        <f t="shared" si="2"/>
        <v>91.898039966284642</v>
      </c>
      <c r="AQ31">
        <v>25</v>
      </c>
      <c r="AR31">
        <v>0.1</v>
      </c>
      <c r="AS31">
        <v>100</v>
      </c>
      <c r="AT31">
        <v>-0.2</v>
      </c>
      <c r="AU31">
        <v>0.3</v>
      </c>
      <c r="AV31">
        <v>90</v>
      </c>
      <c r="AW31" t="s">
        <v>114</v>
      </c>
      <c r="AX31" t="s">
        <v>116</v>
      </c>
    </row>
    <row r="32" spans="4:50" x14ac:dyDescent="0.25">
      <c r="M32">
        <v>26</v>
      </c>
      <c r="N32">
        <v>0.1</v>
      </c>
      <c r="O32">
        <v>100</v>
      </c>
      <c r="P32">
        <v>-0.2</v>
      </c>
      <c r="Q32">
        <v>0.3</v>
      </c>
      <c r="R32">
        <v>90</v>
      </c>
      <c r="S32" t="s">
        <v>111</v>
      </c>
      <c r="T32" t="s">
        <v>109</v>
      </c>
      <c r="U32">
        <f t="shared" si="0"/>
        <v>92.621680705370437</v>
      </c>
      <c r="W32">
        <v>26</v>
      </c>
      <c r="X32">
        <v>0.1</v>
      </c>
      <c r="Y32">
        <v>100</v>
      </c>
      <c r="Z32">
        <v>-0.2</v>
      </c>
      <c r="AA32">
        <v>0.3</v>
      </c>
      <c r="AB32">
        <v>90</v>
      </c>
      <c r="AC32" t="s">
        <v>114</v>
      </c>
      <c r="AD32" t="s">
        <v>109</v>
      </c>
      <c r="AE32">
        <f t="shared" si="1"/>
        <v>5.7611169431528397</v>
      </c>
      <c r="AG32">
        <v>26</v>
      </c>
      <c r="AH32">
        <v>0.1</v>
      </c>
      <c r="AI32">
        <v>100</v>
      </c>
      <c r="AJ32">
        <v>-0.2</v>
      </c>
      <c r="AK32">
        <v>0.3</v>
      </c>
      <c r="AL32">
        <v>90</v>
      </c>
      <c r="AM32" t="s">
        <v>111</v>
      </c>
      <c r="AN32" t="s">
        <v>116</v>
      </c>
      <c r="AO32">
        <f t="shared" si="2"/>
        <v>92.621680705370437</v>
      </c>
      <c r="AQ32">
        <v>26</v>
      </c>
      <c r="AR32">
        <v>0.1</v>
      </c>
      <c r="AS32">
        <v>100</v>
      </c>
      <c r="AT32">
        <v>-0.2</v>
      </c>
      <c r="AU32">
        <v>0.3</v>
      </c>
      <c r="AV32">
        <v>90</v>
      </c>
      <c r="AW32" t="s">
        <v>114</v>
      </c>
      <c r="AX32" t="s">
        <v>116</v>
      </c>
    </row>
    <row r="33" spans="13:50" x14ac:dyDescent="0.25">
      <c r="M33">
        <v>27</v>
      </c>
      <c r="N33">
        <v>0.1</v>
      </c>
      <c r="O33">
        <v>100</v>
      </c>
      <c r="P33">
        <v>-0.2</v>
      </c>
      <c r="Q33">
        <v>0.3</v>
      </c>
      <c r="R33">
        <v>90</v>
      </c>
      <c r="S33" t="s">
        <v>111</v>
      </c>
      <c r="T33" t="s">
        <v>109</v>
      </c>
      <c r="U33">
        <f t="shared" si="0"/>
        <v>93.286471125619229</v>
      </c>
      <c r="W33">
        <v>27</v>
      </c>
      <c r="X33">
        <v>0.1</v>
      </c>
      <c r="Y33">
        <v>100</v>
      </c>
      <c r="Z33">
        <v>-0.2</v>
      </c>
      <c r="AA33">
        <v>0.3</v>
      </c>
      <c r="AB33">
        <v>90</v>
      </c>
      <c r="AC33" t="s">
        <v>114</v>
      </c>
      <c r="AD33" t="s">
        <v>109</v>
      </c>
      <c r="AE33">
        <f t="shared" si="1"/>
        <v>5.7631834599466343</v>
      </c>
      <c r="AG33">
        <v>27</v>
      </c>
      <c r="AH33">
        <v>0.1</v>
      </c>
      <c r="AI33">
        <v>100</v>
      </c>
      <c r="AJ33">
        <v>-0.2</v>
      </c>
      <c r="AK33">
        <v>0.3</v>
      </c>
      <c r="AL33">
        <v>90</v>
      </c>
      <c r="AM33" t="s">
        <v>111</v>
      </c>
      <c r="AN33" t="s">
        <v>116</v>
      </c>
      <c r="AO33">
        <f t="shared" si="2"/>
        <v>93.286471125619229</v>
      </c>
      <c r="AQ33">
        <v>27</v>
      </c>
      <c r="AR33">
        <v>0.1</v>
      </c>
      <c r="AS33">
        <v>100</v>
      </c>
      <c r="AT33">
        <v>-0.2</v>
      </c>
      <c r="AU33">
        <v>0.3</v>
      </c>
      <c r="AV33">
        <v>90</v>
      </c>
      <c r="AW33" t="s">
        <v>114</v>
      </c>
      <c r="AX33" t="s">
        <v>116</v>
      </c>
    </row>
    <row r="34" spans="13:50" x14ac:dyDescent="0.25">
      <c r="M34">
        <v>28</v>
      </c>
      <c r="N34">
        <v>0.1</v>
      </c>
      <c r="O34">
        <v>100</v>
      </c>
      <c r="P34">
        <v>-0.2</v>
      </c>
      <c r="Q34">
        <v>0.3</v>
      </c>
      <c r="R34">
        <v>90</v>
      </c>
      <c r="S34" t="s">
        <v>111</v>
      </c>
      <c r="T34" t="s">
        <v>109</v>
      </c>
      <c r="U34">
        <f t="shared" si="0"/>
        <v>93.89217647202662</v>
      </c>
      <c r="W34">
        <v>28</v>
      </c>
      <c r="X34">
        <v>0.1</v>
      </c>
      <c r="Y34">
        <v>100</v>
      </c>
      <c r="Z34">
        <v>-0.2</v>
      </c>
      <c r="AA34">
        <v>0.3</v>
      </c>
      <c r="AB34">
        <v>90</v>
      </c>
      <c r="AC34" t="s">
        <v>114</v>
      </c>
      <c r="AD34" t="s">
        <v>109</v>
      </c>
      <c r="AE34">
        <f t="shared" si="1"/>
        <v>5.7634533950259002</v>
      </c>
      <c r="AG34">
        <v>28</v>
      </c>
      <c r="AH34">
        <v>0.1</v>
      </c>
      <c r="AI34">
        <v>100</v>
      </c>
      <c r="AJ34">
        <v>-0.2</v>
      </c>
      <c r="AK34">
        <v>0.3</v>
      </c>
      <c r="AL34">
        <v>90</v>
      </c>
      <c r="AM34" t="s">
        <v>111</v>
      </c>
      <c r="AN34" t="s">
        <v>116</v>
      </c>
      <c r="AO34">
        <f t="shared" si="2"/>
        <v>93.89217647202662</v>
      </c>
      <c r="AQ34">
        <v>28</v>
      </c>
      <c r="AR34">
        <v>0.1</v>
      </c>
      <c r="AS34">
        <v>100</v>
      </c>
      <c r="AT34">
        <v>-0.2</v>
      </c>
      <c r="AU34">
        <v>0.3</v>
      </c>
      <c r="AV34">
        <v>90</v>
      </c>
      <c r="AW34" t="s">
        <v>114</v>
      </c>
      <c r="AX34" t="s">
        <v>116</v>
      </c>
    </row>
    <row r="35" spans="13:50" x14ac:dyDescent="0.25">
      <c r="M35">
        <v>29</v>
      </c>
      <c r="N35">
        <v>0.1</v>
      </c>
      <c r="O35">
        <v>100</v>
      </c>
      <c r="P35">
        <v>-0.2</v>
      </c>
      <c r="Q35">
        <v>0.3</v>
      </c>
      <c r="R35">
        <v>90</v>
      </c>
      <c r="S35" t="s">
        <v>111</v>
      </c>
      <c r="T35" t="s">
        <v>109</v>
      </c>
      <c r="U35">
        <f t="shared" si="0"/>
        <v>94.437478894158403</v>
      </c>
      <c r="W35">
        <v>29</v>
      </c>
      <c r="X35">
        <v>0.1</v>
      </c>
      <c r="Y35">
        <v>100</v>
      </c>
      <c r="Z35">
        <v>-0.2</v>
      </c>
      <c r="AA35">
        <v>0.3</v>
      </c>
      <c r="AB35">
        <v>90</v>
      </c>
      <c r="AC35" t="s">
        <v>114</v>
      </c>
      <c r="AD35" t="s">
        <v>109</v>
      </c>
      <c r="AE35">
        <f t="shared" si="1"/>
        <v>5.764676161776241</v>
      </c>
      <c r="AG35">
        <v>29</v>
      </c>
      <c r="AH35">
        <v>0.1</v>
      </c>
      <c r="AI35">
        <v>100</v>
      </c>
      <c r="AJ35">
        <v>-0.2</v>
      </c>
      <c r="AK35">
        <v>0.3</v>
      </c>
      <c r="AL35">
        <v>90</v>
      </c>
      <c r="AM35" t="s">
        <v>111</v>
      </c>
      <c r="AN35" t="s">
        <v>116</v>
      </c>
      <c r="AO35">
        <f t="shared" si="2"/>
        <v>94.437478894158403</v>
      </c>
      <c r="AQ35">
        <v>29</v>
      </c>
      <c r="AR35">
        <v>0.1</v>
      </c>
      <c r="AS35">
        <v>100</v>
      </c>
      <c r="AT35">
        <v>-0.2</v>
      </c>
      <c r="AU35">
        <v>0.3</v>
      </c>
      <c r="AV35">
        <v>90</v>
      </c>
      <c r="AW35" t="s">
        <v>114</v>
      </c>
      <c r="AX35" t="s">
        <v>116</v>
      </c>
    </row>
    <row r="36" spans="13:50" x14ac:dyDescent="0.25">
      <c r="M36">
        <v>30</v>
      </c>
      <c r="N36">
        <v>0.1</v>
      </c>
      <c r="O36">
        <v>100</v>
      </c>
      <c r="P36">
        <v>-0.2</v>
      </c>
      <c r="Q36">
        <v>0.3</v>
      </c>
      <c r="R36">
        <v>90</v>
      </c>
      <c r="S36" t="s">
        <v>111</v>
      </c>
      <c r="T36" t="s">
        <v>109</v>
      </c>
      <c r="U36">
        <f t="shared" si="0"/>
        <v>94.943922746136877</v>
      </c>
      <c r="W36">
        <v>30</v>
      </c>
      <c r="X36">
        <v>0.1</v>
      </c>
      <c r="Y36">
        <v>100</v>
      </c>
      <c r="Z36">
        <v>-0.2</v>
      </c>
      <c r="AA36">
        <v>0.3</v>
      </c>
      <c r="AB36">
        <v>90</v>
      </c>
      <c r="AC36" t="s">
        <v>114</v>
      </c>
      <c r="AD36" t="s">
        <v>109</v>
      </c>
      <c r="AE36">
        <f t="shared" si="1"/>
        <v>5.7654946956930928</v>
      </c>
      <c r="AG36">
        <v>30</v>
      </c>
      <c r="AH36">
        <v>0.1</v>
      </c>
      <c r="AI36">
        <v>100</v>
      </c>
      <c r="AJ36">
        <v>-0.2</v>
      </c>
      <c r="AK36">
        <v>0.3</v>
      </c>
      <c r="AL36">
        <v>90</v>
      </c>
      <c r="AM36" t="s">
        <v>111</v>
      </c>
      <c r="AN36" t="s">
        <v>116</v>
      </c>
      <c r="AO36">
        <f t="shared" si="2"/>
        <v>94.943922746136877</v>
      </c>
      <c r="AQ36">
        <v>30</v>
      </c>
      <c r="AR36">
        <v>0.1</v>
      </c>
      <c r="AS36">
        <v>100</v>
      </c>
      <c r="AT36">
        <v>-0.2</v>
      </c>
      <c r="AU36">
        <v>0.3</v>
      </c>
      <c r="AV36">
        <v>90</v>
      </c>
      <c r="AW36" t="s">
        <v>114</v>
      </c>
      <c r="AX36" t="s">
        <v>116</v>
      </c>
    </row>
    <row r="37" spans="13:50" x14ac:dyDescent="0.25">
      <c r="M37">
        <v>31</v>
      </c>
      <c r="N37">
        <v>0.1</v>
      </c>
      <c r="O37">
        <v>100</v>
      </c>
      <c r="P37">
        <v>-0.2</v>
      </c>
      <c r="Q37">
        <v>0.3</v>
      </c>
      <c r="R37">
        <v>90</v>
      </c>
      <c r="S37" t="s">
        <v>111</v>
      </c>
      <c r="T37" t="s">
        <v>109</v>
      </c>
      <c r="U37">
        <f t="shared" si="0"/>
        <v>95.39161681373983</v>
      </c>
      <c r="W37">
        <v>31</v>
      </c>
      <c r="X37">
        <v>0.1</v>
      </c>
      <c r="Y37">
        <v>100</v>
      </c>
      <c r="Z37">
        <v>-0.2</v>
      </c>
      <c r="AA37">
        <v>0.3</v>
      </c>
      <c r="AB37">
        <v>90</v>
      </c>
      <c r="AC37" t="s">
        <v>114</v>
      </c>
      <c r="AD37" t="s">
        <v>109</v>
      </c>
      <c r="AE37">
        <f t="shared" si="1"/>
        <v>5.7657645466575049</v>
      </c>
      <c r="AG37">
        <v>31</v>
      </c>
      <c r="AH37">
        <v>0.1</v>
      </c>
      <c r="AI37">
        <v>100</v>
      </c>
      <c r="AJ37">
        <v>-0.2</v>
      </c>
      <c r="AK37">
        <v>0.3</v>
      </c>
      <c r="AL37">
        <v>90</v>
      </c>
      <c r="AM37" t="s">
        <v>111</v>
      </c>
      <c r="AN37" t="s">
        <v>116</v>
      </c>
      <c r="AO37">
        <f t="shared" si="2"/>
        <v>95.39161681373983</v>
      </c>
      <c r="AQ37">
        <v>31</v>
      </c>
      <c r="AR37">
        <v>0.1</v>
      </c>
      <c r="AS37">
        <v>100</v>
      </c>
      <c r="AT37">
        <v>-0.2</v>
      </c>
      <c r="AU37">
        <v>0.3</v>
      </c>
      <c r="AV37">
        <v>90</v>
      </c>
      <c r="AW37" t="s">
        <v>114</v>
      </c>
      <c r="AX37" t="s">
        <v>116</v>
      </c>
    </row>
    <row r="38" spans="13:50" x14ac:dyDescent="0.25">
      <c r="M38">
        <v>32</v>
      </c>
      <c r="N38">
        <v>0.1</v>
      </c>
      <c r="O38">
        <v>100</v>
      </c>
      <c r="P38">
        <v>-0.2</v>
      </c>
      <c r="Q38">
        <v>0.3</v>
      </c>
      <c r="R38">
        <v>90</v>
      </c>
      <c r="S38" t="s">
        <v>111</v>
      </c>
      <c r="T38" t="s">
        <v>109</v>
      </c>
      <c r="U38">
        <f t="shared" si="0"/>
        <v>95.814652784539803</v>
      </c>
      <c r="W38">
        <v>32</v>
      </c>
      <c r="X38">
        <v>0.1</v>
      </c>
      <c r="Y38">
        <v>100</v>
      </c>
      <c r="Z38">
        <v>-0.2</v>
      </c>
      <c r="AA38">
        <v>0.3</v>
      </c>
      <c r="AB38">
        <v>90</v>
      </c>
      <c r="AC38" t="s">
        <v>114</v>
      </c>
      <c r="AD38" t="s">
        <v>109</v>
      </c>
      <c r="AE38">
        <f t="shared" si="1"/>
        <v>5.7668931367055292</v>
      </c>
      <c r="AG38">
        <v>32</v>
      </c>
      <c r="AH38">
        <v>0.1</v>
      </c>
      <c r="AI38">
        <v>100</v>
      </c>
      <c r="AJ38">
        <v>-0.2</v>
      </c>
      <c r="AK38">
        <v>0.3</v>
      </c>
      <c r="AL38">
        <v>90</v>
      </c>
      <c r="AM38" t="s">
        <v>111</v>
      </c>
      <c r="AN38" t="s">
        <v>116</v>
      </c>
      <c r="AO38">
        <f t="shared" si="2"/>
        <v>95.814652784539803</v>
      </c>
      <c r="AQ38">
        <v>32</v>
      </c>
      <c r="AR38">
        <v>0.1</v>
      </c>
      <c r="AS38">
        <v>100</v>
      </c>
      <c r="AT38">
        <v>-0.2</v>
      </c>
      <c r="AU38">
        <v>0.3</v>
      </c>
      <c r="AV38">
        <v>90</v>
      </c>
      <c r="AW38" t="s">
        <v>114</v>
      </c>
      <c r="AX38" t="s">
        <v>116</v>
      </c>
    </row>
    <row r="39" spans="13:50" x14ac:dyDescent="0.25">
      <c r="M39">
        <v>33</v>
      </c>
      <c r="N39">
        <v>0.1</v>
      </c>
      <c r="O39">
        <v>100</v>
      </c>
      <c r="P39">
        <v>-0.2</v>
      </c>
      <c r="Q39">
        <v>0.3</v>
      </c>
      <c r="R39">
        <v>90</v>
      </c>
      <c r="S39" t="s">
        <v>111</v>
      </c>
      <c r="T39" t="s">
        <v>109</v>
      </c>
      <c r="U39">
        <f t="shared" si="0"/>
        <v>96.185682239010873</v>
      </c>
      <c r="W39">
        <v>33</v>
      </c>
      <c r="X39">
        <v>0.1</v>
      </c>
      <c r="Y39">
        <v>100</v>
      </c>
      <c r="Z39">
        <v>-0.2</v>
      </c>
      <c r="AA39">
        <v>0.3</v>
      </c>
      <c r="AB39">
        <v>90</v>
      </c>
      <c r="AC39" t="s">
        <v>114</v>
      </c>
      <c r="AD39" t="s">
        <v>109</v>
      </c>
      <c r="AE39">
        <f t="shared" si="1"/>
        <v>5.7668931367055292</v>
      </c>
      <c r="AG39">
        <v>33</v>
      </c>
      <c r="AH39">
        <v>0.1</v>
      </c>
      <c r="AI39">
        <v>100</v>
      </c>
      <c r="AJ39">
        <v>-0.2</v>
      </c>
      <c r="AK39">
        <v>0.3</v>
      </c>
      <c r="AL39">
        <v>90</v>
      </c>
      <c r="AM39" t="s">
        <v>111</v>
      </c>
      <c r="AN39" t="s">
        <v>116</v>
      </c>
      <c r="AO39">
        <f t="shared" si="2"/>
        <v>96.185682239010873</v>
      </c>
      <c r="AQ39">
        <v>33</v>
      </c>
      <c r="AR39">
        <v>0.1</v>
      </c>
      <c r="AS39">
        <v>100</v>
      </c>
      <c r="AT39">
        <v>-0.2</v>
      </c>
      <c r="AU39">
        <v>0.3</v>
      </c>
      <c r="AV39">
        <v>90</v>
      </c>
      <c r="AW39" t="s">
        <v>114</v>
      </c>
      <c r="AX39" t="s">
        <v>116</v>
      </c>
    </row>
    <row r="40" spans="13:50" x14ac:dyDescent="0.25">
      <c r="M40">
        <v>34</v>
      </c>
      <c r="N40">
        <v>0.1</v>
      </c>
      <c r="O40">
        <v>100</v>
      </c>
      <c r="P40">
        <v>-0.2</v>
      </c>
      <c r="Q40">
        <v>0.3</v>
      </c>
      <c r="R40">
        <v>90</v>
      </c>
      <c r="S40" t="s">
        <v>111</v>
      </c>
      <c r="T40" t="s">
        <v>109</v>
      </c>
      <c r="U40">
        <f t="shared" si="0"/>
        <v>96.535548678464437</v>
      </c>
      <c r="W40">
        <v>34</v>
      </c>
      <c r="X40">
        <v>0.1</v>
      </c>
      <c r="Y40">
        <v>100</v>
      </c>
      <c r="Z40">
        <v>-0.2</v>
      </c>
      <c r="AA40">
        <v>0.3</v>
      </c>
      <c r="AB40">
        <v>90</v>
      </c>
      <c r="AC40" t="s">
        <v>114</v>
      </c>
      <c r="AD40" t="s">
        <v>109</v>
      </c>
      <c r="AE40">
        <f t="shared" si="1"/>
        <v>5.7678098750204896</v>
      </c>
      <c r="AG40">
        <v>34</v>
      </c>
      <c r="AH40">
        <v>0.1</v>
      </c>
      <c r="AI40">
        <v>100</v>
      </c>
      <c r="AJ40">
        <v>-0.2</v>
      </c>
      <c r="AK40">
        <v>0.3</v>
      </c>
      <c r="AL40">
        <v>90</v>
      </c>
      <c r="AM40" t="s">
        <v>111</v>
      </c>
      <c r="AN40" t="s">
        <v>116</v>
      </c>
      <c r="AO40">
        <f t="shared" si="2"/>
        <v>96.535548678464437</v>
      </c>
      <c r="AQ40">
        <v>34</v>
      </c>
      <c r="AR40">
        <v>0.1</v>
      </c>
      <c r="AS40">
        <v>100</v>
      </c>
      <c r="AT40">
        <v>-0.2</v>
      </c>
      <c r="AU40">
        <v>0.3</v>
      </c>
      <c r="AV40">
        <v>90</v>
      </c>
      <c r="AW40" t="s">
        <v>114</v>
      </c>
      <c r="AX40" t="s">
        <v>116</v>
      </c>
    </row>
    <row r="41" spans="13:50" x14ac:dyDescent="0.25">
      <c r="M41">
        <v>35</v>
      </c>
      <c r="N41">
        <v>0.1</v>
      </c>
      <c r="O41">
        <v>100</v>
      </c>
      <c r="P41">
        <v>-0.2</v>
      </c>
      <c r="Q41">
        <v>0.3</v>
      </c>
      <c r="R41">
        <v>90</v>
      </c>
      <c r="S41" t="s">
        <v>111</v>
      </c>
      <c r="T41" t="s">
        <v>109</v>
      </c>
      <c r="U41">
        <f t="shared" si="0"/>
        <v>96.844592897537993</v>
      </c>
      <c r="W41">
        <v>35</v>
      </c>
      <c r="X41">
        <v>0.1</v>
      </c>
      <c r="Y41">
        <v>100</v>
      </c>
      <c r="Z41">
        <v>-0.2</v>
      </c>
      <c r="AA41">
        <v>0.3</v>
      </c>
      <c r="AB41">
        <v>90</v>
      </c>
      <c r="AC41" t="s">
        <v>114</v>
      </c>
      <c r="AD41" t="s">
        <v>109</v>
      </c>
      <c r="AE41">
        <f t="shared" si="1"/>
        <v>5.7678098750204896</v>
      </c>
      <c r="AG41">
        <v>35</v>
      </c>
      <c r="AH41">
        <v>0.1</v>
      </c>
      <c r="AI41">
        <v>100</v>
      </c>
      <c r="AJ41">
        <v>-0.2</v>
      </c>
      <c r="AK41">
        <v>0.3</v>
      </c>
      <c r="AL41">
        <v>90</v>
      </c>
      <c r="AM41" t="s">
        <v>111</v>
      </c>
      <c r="AN41" t="s">
        <v>116</v>
      </c>
      <c r="AO41">
        <f t="shared" si="2"/>
        <v>96.844592897537993</v>
      </c>
      <c r="AQ41">
        <v>35</v>
      </c>
      <c r="AR41">
        <v>0.1</v>
      </c>
      <c r="AS41">
        <v>100</v>
      </c>
      <c r="AT41">
        <v>-0.2</v>
      </c>
      <c r="AU41">
        <v>0.3</v>
      </c>
      <c r="AV41">
        <v>90</v>
      </c>
      <c r="AW41" t="s">
        <v>114</v>
      </c>
      <c r="AX41" t="s">
        <v>116</v>
      </c>
    </row>
    <row r="42" spans="13:50" x14ac:dyDescent="0.25">
      <c r="M42">
        <v>36</v>
      </c>
      <c r="N42">
        <v>0.1</v>
      </c>
      <c r="O42">
        <v>100</v>
      </c>
      <c r="P42">
        <v>-0.2</v>
      </c>
      <c r="Q42">
        <v>0.3</v>
      </c>
      <c r="R42">
        <v>90</v>
      </c>
      <c r="S42" t="s">
        <v>111</v>
      </c>
      <c r="T42" t="s">
        <v>109</v>
      </c>
      <c r="U42">
        <f t="shared" si="0"/>
        <v>97.132398172636755</v>
      </c>
      <c r="W42">
        <v>36</v>
      </c>
      <c r="X42">
        <v>0.1</v>
      </c>
      <c r="Y42">
        <v>100</v>
      </c>
      <c r="Z42">
        <v>-0.2</v>
      </c>
      <c r="AA42">
        <v>0.3</v>
      </c>
      <c r="AB42">
        <v>90</v>
      </c>
      <c r="AC42" t="s">
        <v>114</v>
      </c>
      <c r="AD42" t="s">
        <v>109</v>
      </c>
      <c r="AE42">
        <f t="shared" si="1"/>
        <v>5.7683828176822098</v>
      </c>
      <c r="AG42">
        <v>36</v>
      </c>
      <c r="AH42">
        <v>0.1</v>
      </c>
      <c r="AI42">
        <v>100</v>
      </c>
      <c r="AJ42">
        <v>-0.2</v>
      </c>
      <c r="AK42">
        <v>0.3</v>
      </c>
      <c r="AL42">
        <v>90</v>
      </c>
      <c r="AM42" t="s">
        <v>111</v>
      </c>
      <c r="AN42" t="s">
        <v>116</v>
      </c>
      <c r="AO42">
        <f t="shared" si="2"/>
        <v>97.132398172636755</v>
      </c>
      <c r="AQ42">
        <v>36</v>
      </c>
      <c r="AR42">
        <v>0.1</v>
      </c>
      <c r="AS42">
        <v>100</v>
      </c>
      <c r="AT42">
        <v>-0.2</v>
      </c>
      <c r="AU42">
        <v>0.3</v>
      </c>
      <c r="AV42">
        <v>90</v>
      </c>
      <c r="AW42" t="s">
        <v>114</v>
      </c>
      <c r="AX42" t="s">
        <v>116</v>
      </c>
    </row>
    <row r="43" spans="13:50" x14ac:dyDescent="0.25">
      <c r="M43">
        <v>37</v>
      </c>
      <c r="N43">
        <v>0.1</v>
      </c>
      <c r="O43">
        <v>100</v>
      </c>
      <c r="P43">
        <v>-0.2</v>
      </c>
      <c r="Q43">
        <v>0.3</v>
      </c>
      <c r="R43">
        <v>90</v>
      </c>
      <c r="S43" t="s">
        <v>111</v>
      </c>
      <c r="T43" t="s">
        <v>109</v>
      </c>
      <c r="U43">
        <f t="shared" si="0"/>
        <v>97.389679760755129</v>
      </c>
      <c r="W43">
        <v>37</v>
      </c>
      <c r="X43">
        <v>0.1</v>
      </c>
      <c r="Y43">
        <v>100</v>
      </c>
      <c r="Z43">
        <v>-0.2</v>
      </c>
      <c r="AA43">
        <v>0.3</v>
      </c>
      <c r="AB43">
        <v>90</v>
      </c>
      <c r="AC43" t="s">
        <v>114</v>
      </c>
      <c r="AD43" t="s">
        <v>109</v>
      </c>
      <c r="AE43">
        <f t="shared" si="1"/>
        <v>5.7683828176822098</v>
      </c>
      <c r="AG43">
        <v>37</v>
      </c>
      <c r="AH43">
        <v>0.1</v>
      </c>
      <c r="AI43">
        <v>100</v>
      </c>
      <c r="AJ43">
        <v>-0.2</v>
      </c>
      <c r="AK43">
        <v>0.3</v>
      </c>
      <c r="AL43">
        <v>90</v>
      </c>
      <c r="AM43" t="s">
        <v>111</v>
      </c>
      <c r="AN43" t="s">
        <v>116</v>
      </c>
      <c r="AO43">
        <f t="shared" si="2"/>
        <v>97.389679760755129</v>
      </c>
      <c r="AQ43">
        <v>37</v>
      </c>
      <c r="AR43">
        <v>0.1</v>
      </c>
      <c r="AS43">
        <v>100</v>
      </c>
      <c r="AT43">
        <v>-0.2</v>
      </c>
      <c r="AU43">
        <v>0.3</v>
      </c>
      <c r="AV43">
        <v>90</v>
      </c>
      <c r="AW43" t="s">
        <v>114</v>
      </c>
      <c r="AX43" t="s">
        <v>116</v>
      </c>
    </row>
    <row r="44" spans="13:50" x14ac:dyDescent="0.25">
      <c r="M44">
        <v>38</v>
      </c>
      <c r="N44">
        <v>0.1</v>
      </c>
      <c r="O44">
        <v>100</v>
      </c>
      <c r="P44">
        <v>-0.2</v>
      </c>
      <c r="Q44">
        <v>0.3</v>
      </c>
      <c r="R44">
        <v>90</v>
      </c>
      <c r="S44" t="s">
        <v>111</v>
      </c>
      <c r="T44" t="s">
        <v>109</v>
      </c>
      <c r="U44">
        <f t="shared" si="0"/>
        <v>97.626539082981779</v>
      </c>
      <c r="W44">
        <v>38</v>
      </c>
      <c r="X44">
        <v>0.1</v>
      </c>
      <c r="Y44">
        <v>100</v>
      </c>
      <c r="Z44">
        <v>-0.2</v>
      </c>
      <c r="AA44">
        <v>0.3</v>
      </c>
      <c r="AB44">
        <v>90</v>
      </c>
      <c r="AC44" t="s">
        <v>114</v>
      </c>
      <c r="AD44" t="s">
        <v>109</v>
      </c>
      <c r="AE44">
        <f t="shared" si="1"/>
        <v>5.7687179055136912</v>
      </c>
      <c r="AG44">
        <v>38</v>
      </c>
      <c r="AH44">
        <v>0.1</v>
      </c>
      <c r="AI44">
        <v>100</v>
      </c>
      <c r="AJ44">
        <v>-0.2</v>
      </c>
      <c r="AK44">
        <v>0.3</v>
      </c>
      <c r="AL44">
        <v>90</v>
      </c>
      <c r="AM44" t="s">
        <v>111</v>
      </c>
      <c r="AN44" t="s">
        <v>116</v>
      </c>
      <c r="AO44">
        <f t="shared" si="2"/>
        <v>97.626539082981779</v>
      </c>
      <c r="AQ44">
        <v>38</v>
      </c>
      <c r="AR44">
        <v>0.1</v>
      </c>
      <c r="AS44">
        <v>100</v>
      </c>
      <c r="AT44">
        <v>-0.2</v>
      </c>
      <c r="AU44">
        <v>0.3</v>
      </c>
      <c r="AV44">
        <v>90</v>
      </c>
      <c r="AW44" t="s">
        <v>114</v>
      </c>
      <c r="AX44" t="s">
        <v>116</v>
      </c>
    </row>
    <row r="45" spans="13:50" x14ac:dyDescent="0.25">
      <c r="M45">
        <v>39</v>
      </c>
      <c r="N45">
        <v>0.1</v>
      </c>
      <c r="O45">
        <v>100</v>
      </c>
      <c r="P45">
        <v>-0.2</v>
      </c>
      <c r="Q45">
        <v>0.3</v>
      </c>
      <c r="R45">
        <v>90</v>
      </c>
      <c r="S45" t="s">
        <v>111</v>
      </c>
      <c r="T45" t="s">
        <v>109</v>
      </c>
      <c r="U45">
        <f t="shared" si="0"/>
        <v>97.84062367236811</v>
      </c>
      <c r="W45">
        <v>39</v>
      </c>
      <c r="X45">
        <v>0.1</v>
      </c>
      <c r="Y45">
        <v>100</v>
      </c>
      <c r="Z45">
        <v>-0.2</v>
      </c>
      <c r="AA45">
        <v>0.3</v>
      </c>
      <c r="AB45">
        <v>90</v>
      </c>
      <c r="AC45" t="s">
        <v>114</v>
      </c>
      <c r="AD45" t="s">
        <v>109</v>
      </c>
      <c r="AE45">
        <f t="shared" si="1"/>
        <v>5.7687179055136912</v>
      </c>
      <c r="AG45">
        <v>39</v>
      </c>
      <c r="AH45">
        <v>0.1</v>
      </c>
      <c r="AI45">
        <v>100</v>
      </c>
      <c r="AJ45">
        <v>-0.2</v>
      </c>
      <c r="AK45">
        <v>0.3</v>
      </c>
      <c r="AL45">
        <v>90</v>
      </c>
      <c r="AM45" t="s">
        <v>111</v>
      </c>
      <c r="AN45" t="s">
        <v>116</v>
      </c>
      <c r="AO45">
        <f t="shared" si="2"/>
        <v>97.84062367236811</v>
      </c>
      <c r="AQ45">
        <v>39</v>
      </c>
      <c r="AR45">
        <v>0.1</v>
      </c>
      <c r="AS45">
        <v>100</v>
      </c>
      <c r="AT45">
        <v>-0.2</v>
      </c>
      <c r="AU45">
        <v>0.3</v>
      </c>
      <c r="AV45">
        <v>90</v>
      </c>
      <c r="AW45" t="s">
        <v>114</v>
      </c>
      <c r="AX45" t="s">
        <v>116</v>
      </c>
    </row>
    <row r="46" spans="13:50" x14ac:dyDescent="0.25">
      <c r="M46">
        <v>40</v>
      </c>
      <c r="N46">
        <v>0.1</v>
      </c>
      <c r="O46">
        <v>100</v>
      </c>
      <c r="P46">
        <v>-0.2</v>
      </c>
      <c r="Q46">
        <v>0.3</v>
      </c>
      <c r="R46">
        <v>90</v>
      </c>
      <c r="S46" t="s">
        <v>111</v>
      </c>
      <c r="T46" t="s">
        <v>109</v>
      </c>
      <c r="U46">
        <f t="shared" si="0"/>
        <v>98.035633576231675</v>
      </c>
      <c r="W46">
        <v>40</v>
      </c>
      <c r="X46">
        <v>0.1</v>
      </c>
      <c r="Y46">
        <v>100</v>
      </c>
      <c r="Z46">
        <v>-0.2</v>
      </c>
      <c r="AA46">
        <v>0.3</v>
      </c>
      <c r="AB46">
        <v>90</v>
      </c>
      <c r="AC46" t="s">
        <v>114</v>
      </c>
      <c r="AD46" t="s">
        <v>109</v>
      </c>
      <c r="AE46">
        <f t="shared" si="1"/>
        <v>5.7689155738335547</v>
      </c>
      <c r="AG46">
        <v>40</v>
      </c>
      <c r="AH46">
        <v>0.1</v>
      </c>
      <c r="AI46">
        <v>100</v>
      </c>
      <c r="AJ46">
        <v>-0.2</v>
      </c>
      <c r="AK46">
        <v>0.3</v>
      </c>
      <c r="AL46">
        <v>90</v>
      </c>
      <c r="AM46" t="s">
        <v>111</v>
      </c>
      <c r="AN46" t="s">
        <v>116</v>
      </c>
      <c r="AO46">
        <f t="shared" si="2"/>
        <v>98.035633576231675</v>
      </c>
      <c r="AQ46">
        <v>40</v>
      </c>
      <c r="AR46">
        <v>0.1</v>
      </c>
      <c r="AS46">
        <v>100</v>
      </c>
      <c r="AT46">
        <v>-0.2</v>
      </c>
      <c r="AU46">
        <v>0.3</v>
      </c>
      <c r="AV46">
        <v>90</v>
      </c>
      <c r="AW46" t="s">
        <v>114</v>
      </c>
      <c r="AX46" t="s">
        <v>116</v>
      </c>
    </row>
    <row r="47" spans="13:50" x14ac:dyDescent="0.25">
      <c r="M47">
        <v>41</v>
      </c>
      <c r="N47">
        <v>0.1</v>
      </c>
      <c r="O47">
        <v>100</v>
      </c>
      <c r="P47">
        <v>-0.2</v>
      </c>
      <c r="Q47">
        <v>0.3</v>
      </c>
      <c r="R47">
        <v>90</v>
      </c>
      <c r="S47" t="s">
        <v>111</v>
      </c>
      <c r="T47" t="s">
        <v>109</v>
      </c>
      <c r="U47">
        <f t="shared" si="0"/>
        <v>98.213692472149177</v>
      </c>
      <c r="W47">
        <v>41</v>
      </c>
      <c r="X47">
        <v>0.1</v>
      </c>
      <c r="Y47">
        <v>100</v>
      </c>
      <c r="Z47">
        <v>-0.2</v>
      </c>
      <c r="AA47">
        <v>0.3</v>
      </c>
      <c r="AB47">
        <v>90</v>
      </c>
      <c r="AC47" t="s">
        <v>114</v>
      </c>
      <c r="AD47" t="s">
        <v>109</v>
      </c>
      <c r="AE47">
        <f t="shared" si="1"/>
        <v>5.7689647480355948</v>
      </c>
      <c r="AG47">
        <v>41</v>
      </c>
      <c r="AH47">
        <v>0.1</v>
      </c>
      <c r="AI47">
        <v>100</v>
      </c>
      <c r="AJ47">
        <v>-0.2</v>
      </c>
      <c r="AK47">
        <v>0.3</v>
      </c>
      <c r="AL47">
        <v>90</v>
      </c>
      <c r="AM47" t="s">
        <v>111</v>
      </c>
      <c r="AN47" t="s">
        <v>116</v>
      </c>
      <c r="AO47">
        <f t="shared" si="2"/>
        <v>98.213692472149177</v>
      </c>
      <c r="AQ47">
        <v>41</v>
      </c>
      <c r="AR47">
        <v>0.1</v>
      </c>
      <c r="AS47">
        <v>100</v>
      </c>
      <c r="AT47">
        <v>-0.2</v>
      </c>
      <c r="AU47">
        <v>0.3</v>
      </c>
      <c r="AV47">
        <v>90</v>
      </c>
      <c r="AW47" t="s">
        <v>114</v>
      </c>
      <c r="AX47" t="s">
        <v>116</v>
      </c>
    </row>
    <row r="48" spans="13:50" x14ac:dyDescent="0.25">
      <c r="M48">
        <v>42</v>
      </c>
      <c r="N48">
        <v>0.1</v>
      </c>
      <c r="O48">
        <v>100</v>
      </c>
      <c r="P48">
        <v>-0.2</v>
      </c>
      <c r="Q48">
        <v>0.3</v>
      </c>
      <c r="R48">
        <v>90</v>
      </c>
      <c r="S48" t="s">
        <v>111</v>
      </c>
      <c r="T48" t="s">
        <v>109</v>
      </c>
      <c r="U48">
        <f t="shared" si="0"/>
        <v>98.374304898426246</v>
      </c>
      <c r="W48">
        <v>42</v>
      </c>
      <c r="X48">
        <v>0.1</v>
      </c>
      <c r="Y48">
        <v>100</v>
      </c>
      <c r="Z48">
        <v>-0.2</v>
      </c>
      <c r="AA48">
        <v>0.3</v>
      </c>
      <c r="AB48">
        <v>90</v>
      </c>
      <c r="AC48" t="s">
        <v>114</v>
      </c>
      <c r="AD48" t="s">
        <v>109</v>
      </c>
      <c r="AE48">
        <f t="shared" si="1"/>
        <v>5.7690625055137668</v>
      </c>
      <c r="AG48">
        <v>42</v>
      </c>
      <c r="AH48">
        <v>0.1</v>
      </c>
      <c r="AI48">
        <v>100</v>
      </c>
      <c r="AJ48">
        <v>-0.2</v>
      </c>
      <c r="AK48">
        <v>0.3</v>
      </c>
      <c r="AL48">
        <v>90</v>
      </c>
      <c r="AM48" t="s">
        <v>111</v>
      </c>
      <c r="AN48" t="s">
        <v>116</v>
      </c>
      <c r="AO48">
        <f t="shared" si="2"/>
        <v>98.374304898426246</v>
      </c>
      <c r="AQ48">
        <v>42</v>
      </c>
      <c r="AR48">
        <v>0.1</v>
      </c>
      <c r="AS48">
        <v>100</v>
      </c>
      <c r="AT48">
        <v>-0.2</v>
      </c>
      <c r="AU48">
        <v>0.3</v>
      </c>
      <c r="AV48">
        <v>90</v>
      </c>
      <c r="AW48" t="s">
        <v>114</v>
      </c>
      <c r="AX48" t="s">
        <v>116</v>
      </c>
    </row>
    <row r="49" spans="13:50" x14ac:dyDescent="0.25">
      <c r="M49">
        <v>43</v>
      </c>
      <c r="N49">
        <v>0.1</v>
      </c>
      <c r="O49">
        <v>100</v>
      </c>
      <c r="P49">
        <v>-0.2</v>
      </c>
      <c r="Q49">
        <v>0.3</v>
      </c>
      <c r="R49">
        <v>90</v>
      </c>
      <c r="S49" t="s">
        <v>111</v>
      </c>
      <c r="T49" t="s">
        <v>109</v>
      </c>
      <c r="U49">
        <f t="shared" si="0"/>
        <v>98.522337113207016</v>
      </c>
      <c r="W49">
        <v>43</v>
      </c>
      <c r="X49">
        <v>0.1</v>
      </c>
      <c r="Y49">
        <v>100</v>
      </c>
      <c r="Z49">
        <v>-0.2</v>
      </c>
      <c r="AA49">
        <v>0.3</v>
      </c>
      <c r="AB49">
        <v>90</v>
      </c>
      <c r="AC49" t="s">
        <v>114</v>
      </c>
      <c r="AD49" t="s">
        <v>109</v>
      </c>
      <c r="AE49">
        <f t="shared" si="1"/>
        <v>5.7691659621732958</v>
      </c>
      <c r="AG49">
        <v>43</v>
      </c>
      <c r="AH49">
        <v>0.1</v>
      </c>
      <c r="AI49">
        <v>100</v>
      </c>
      <c r="AJ49">
        <v>-0.2</v>
      </c>
      <c r="AK49">
        <v>0.3</v>
      </c>
      <c r="AL49">
        <v>90</v>
      </c>
      <c r="AM49" t="s">
        <v>111</v>
      </c>
      <c r="AN49" t="s">
        <v>116</v>
      </c>
      <c r="AO49">
        <f t="shared" si="2"/>
        <v>98.522337113207016</v>
      </c>
      <c r="AQ49">
        <v>43</v>
      </c>
      <c r="AR49">
        <v>0.1</v>
      </c>
      <c r="AS49">
        <v>100</v>
      </c>
      <c r="AT49">
        <v>-0.2</v>
      </c>
      <c r="AU49">
        <v>0.3</v>
      </c>
      <c r="AV49">
        <v>90</v>
      </c>
      <c r="AW49" t="s">
        <v>114</v>
      </c>
      <c r="AX49" t="s">
        <v>116</v>
      </c>
    </row>
    <row r="50" spans="13:50" x14ac:dyDescent="0.25">
      <c r="M50">
        <v>44</v>
      </c>
      <c r="N50">
        <v>0.1</v>
      </c>
      <c r="O50">
        <v>100</v>
      </c>
      <c r="P50">
        <v>-0.2</v>
      </c>
      <c r="Q50">
        <v>0.3</v>
      </c>
      <c r="R50">
        <v>90</v>
      </c>
      <c r="S50" t="s">
        <v>111</v>
      </c>
      <c r="T50" t="s">
        <v>109</v>
      </c>
      <c r="U50">
        <f t="shared" si="0"/>
        <v>98.65466214283407</v>
      </c>
      <c r="W50">
        <v>44</v>
      </c>
      <c r="X50">
        <v>0.1</v>
      </c>
      <c r="Y50">
        <v>100</v>
      </c>
      <c r="Z50">
        <v>-0.2</v>
      </c>
      <c r="AA50">
        <v>0.3</v>
      </c>
      <c r="AB50">
        <v>90</v>
      </c>
      <c r="AC50" t="s">
        <v>114</v>
      </c>
      <c r="AD50" t="s">
        <v>109</v>
      </c>
      <c r="AE50">
        <f t="shared" si="1"/>
        <v>5.7691713188896587</v>
      </c>
      <c r="AG50">
        <v>44</v>
      </c>
      <c r="AH50">
        <v>0.1</v>
      </c>
      <c r="AI50">
        <v>100</v>
      </c>
      <c r="AJ50">
        <v>-0.2</v>
      </c>
      <c r="AK50">
        <v>0.3</v>
      </c>
      <c r="AL50">
        <v>90</v>
      </c>
      <c r="AM50" t="s">
        <v>111</v>
      </c>
      <c r="AN50" t="s">
        <v>116</v>
      </c>
      <c r="AO50">
        <f t="shared" si="2"/>
        <v>98.65466214283407</v>
      </c>
      <c r="AQ50">
        <v>44</v>
      </c>
      <c r="AR50">
        <v>0.1</v>
      </c>
      <c r="AS50">
        <v>100</v>
      </c>
      <c r="AT50">
        <v>-0.2</v>
      </c>
      <c r="AU50">
        <v>0.3</v>
      </c>
      <c r="AV50">
        <v>90</v>
      </c>
      <c r="AW50" t="s">
        <v>114</v>
      </c>
      <c r="AX50" t="s">
        <v>116</v>
      </c>
    </row>
    <row r="51" spans="13:50" x14ac:dyDescent="0.25">
      <c r="M51">
        <v>45</v>
      </c>
      <c r="N51">
        <v>0.1</v>
      </c>
      <c r="O51">
        <v>100</v>
      </c>
      <c r="P51">
        <v>-0.2</v>
      </c>
      <c r="Q51">
        <v>0.3</v>
      </c>
      <c r="R51">
        <v>90</v>
      </c>
      <c r="S51" t="s">
        <v>111</v>
      </c>
      <c r="T51" t="s">
        <v>109</v>
      </c>
      <c r="U51">
        <f t="shared" si="0"/>
        <v>98.77768202970158</v>
      </c>
      <c r="W51">
        <v>45</v>
      </c>
      <c r="X51">
        <v>0.1</v>
      </c>
      <c r="Y51">
        <v>100</v>
      </c>
      <c r="Z51">
        <v>-0.2</v>
      </c>
      <c r="AA51">
        <v>0.3</v>
      </c>
      <c r="AB51">
        <v>90</v>
      </c>
      <c r="AC51" t="s">
        <v>114</v>
      </c>
      <c r="AD51" t="s">
        <v>109</v>
      </c>
      <c r="AE51">
        <f t="shared" si="1"/>
        <v>5.7693125318798568</v>
      </c>
      <c r="AG51">
        <v>45</v>
      </c>
      <c r="AH51">
        <v>0.1</v>
      </c>
      <c r="AI51">
        <v>100</v>
      </c>
      <c r="AJ51">
        <v>-0.2</v>
      </c>
      <c r="AK51">
        <v>0.3</v>
      </c>
      <c r="AL51">
        <v>90</v>
      </c>
      <c r="AM51" t="s">
        <v>111</v>
      </c>
      <c r="AN51" t="s">
        <v>116</v>
      </c>
      <c r="AO51">
        <f t="shared" si="2"/>
        <v>98.77768202970158</v>
      </c>
      <c r="AQ51">
        <v>45</v>
      </c>
      <c r="AR51">
        <v>0.1</v>
      </c>
      <c r="AS51">
        <v>100</v>
      </c>
      <c r="AT51">
        <v>-0.2</v>
      </c>
      <c r="AU51">
        <v>0.3</v>
      </c>
      <c r="AV51">
        <v>90</v>
      </c>
      <c r="AW51" t="s">
        <v>114</v>
      </c>
      <c r="AX51" t="s">
        <v>116</v>
      </c>
    </row>
    <row r="52" spans="13:50" x14ac:dyDescent="0.25">
      <c r="M52">
        <v>46</v>
      </c>
      <c r="N52">
        <v>0.1</v>
      </c>
      <c r="O52">
        <v>100</v>
      </c>
      <c r="P52">
        <v>-0.2</v>
      </c>
      <c r="Q52">
        <v>0.3</v>
      </c>
      <c r="R52">
        <v>90</v>
      </c>
      <c r="S52" t="s">
        <v>111</v>
      </c>
      <c r="T52" t="s">
        <v>109</v>
      </c>
      <c r="U52">
        <f t="shared" si="0"/>
        <v>98.8874474755156</v>
      </c>
      <c r="W52">
        <v>46</v>
      </c>
      <c r="X52">
        <v>0.1</v>
      </c>
      <c r="Y52">
        <v>100</v>
      </c>
      <c r="Z52">
        <v>-0.2</v>
      </c>
      <c r="AA52">
        <v>0.3</v>
      </c>
      <c r="AB52">
        <v>90</v>
      </c>
      <c r="AC52" t="s">
        <v>114</v>
      </c>
      <c r="AD52" t="s">
        <v>109</v>
      </c>
      <c r="AE52">
        <f t="shared" si="1"/>
        <v>5.7693125318798568</v>
      </c>
      <c r="AG52">
        <v>46</v>
      </c>
      <c r="AH52">
        <v>0.1</v>
      </c>
      <c r="AI52">
        <v>100</v>
      </c>
      <c r="AJ52">
        <v>-0.2</v>
      </c>
      <c r="AK52">
        <v>0.3</v>
      </c>
      <c r="AL52">
        <v>90</v>
      </c>
      <c r="AM52" t="s">
        <v>111</v>
      </c>
      <c r="AN52" t="s">
        <v>116</v>
      </c>
      <c r="AO52">
        <f t="shared" si="2"/>
        <v>98.8874474755156</v>
      </c>
      <c r="AQ52">
        <v>46</v>
      </c>
      <c r="AR52">
        <v>0.1</v>
      </c>
      <c r="AS52">
        <v>100</v>
      </c>
      <c r="AT52">
        <v>-0.2</v>
      </c>
      <c r="AU52">
        <v>0.3</v>
      </c>
      <c r="AV52">
        <v>90</v>
      </c>
      <c r="AW52" t="s">
        <v>114</v>
      </c>
      <c r="AX52" t="s">
        <v>116</v>
      </c>
    </row>
    <row r="53" spans="13:50" x14ac:dyDescent="0.25">
      <c r="M53">
        <v>47</v>
      </c>
      <c r="N53">
        <v>0.1</v>
      </c>
      <c r="O53">
        <v>100</v>
      </c>
      <c r="P53">
        <v>-0.2</v>
      </c>
      <c r="Q53">
        <v>0.3</v>
      </c>
      <c r="R53">
        <v>90</v>
      </c>
      <c r="S53" t="s">
        <v>111</v>
      </c>
      <c r="T53" t="s">
        <v>109</v>
      </c>
      <c r="U53">
        <f t="shared" si="0"/>
        <v>98.988929117559707</v>
      </c>
      <c r="W53">
        <v>47</v>
      </c>
      <c r="X53">
        <v>0.1</v>
      </c>
      <c r="Y53">
        <v>100</v>
      </c>
      <c r="Z53">
        <v>-0.2</v>
      </c>
      <c r="AA53">
        <v>0.3</v>
      </c>
      <c r="AB53">
        <v>90</v>
      </c>
      <c r="AC53" t="s">
        <v>114</v>
      </c>
      <c r="AD53" t="s">
        <v>109</v>
      </c>
      <c r="AE53">
        <f t="shared" si="1"/>
        <v>5.7694095712923659</v>
      </c>
      <c r="AG53">
        <v>47</v>
      </c>
      <c r="AH53">
        <v>0.1</v>
      </c>
      <c r="AI53">
        <v>100</v>
      </c>
      <c r="AJ53">
        <v>-0.2</v>
      </c>
      <c r="AK53">
        <v>0.3</v>
      </c>
      <c r="AL53">
        <v>90</v>
      </c>
      <c r="AM53" t="s">
        <v>111</v>
      </c>
      <c r="AN53" t="s">
        <v>116</v>
      </c>
      <c r="AO53">
        <f t="shared" si="2"/>
        <v>98.988929117559707</v>
      </c>
      <c r="AQ53">
        <v>47</v>
      </c>
      <c r="AR53">
        <v>0.1</v>
      </c>
      <c r="AS53">
        <v>100</v>
      </c>
      <c r="AT53">
        <v>-0.2</v>
      </c>
      <c r="AU53">
        <v>0.3</v>
      </c>
      <c r="AV53">
        <v>90</v>
      </c>
      <c r="AW53" t="s">
        <v>114</v>
      </c>
      <c r="AX53" t="s">
        <v>116</v>
      </c>
    </row>
    <row r="54" spans="13:50" x14ac:dyDescent="0.25">
      <c r="M54">
        <v>48</v>
      </c>
      <c r="N54">
        <v>0.1</v>
      </c>
      <c r="O54">
        <v>100</v>
      </c>
      <c r="P54">
        <v>-0.2</v>
      </c>
      <c r="Q54">
        <v>0.3</v>
      </c>
      <c r="R54">
        <v>90</v>
      </c>
      <c r="S54" t="s">
        <v>111</v>
      </c>
      <c r="T54" t="s">
        <v>109</v>
      </c>
      <c r="U54">
        <f t="shared" si="0"/>
        <v>99.080007230161925</v>
      </c>
      <c r="W54">
        <v>48</v>
      </c>
      <c r="X54">
        <v>0.1</v>
      </c>
      <c r="Y54">
        <v>100</v>
      </c>
      <c r="Z54">
        <v>-0.2</v>
      </c>
      <c r="AA54">
        <v>0.3</v>
      </c>
      <c r="AB54">
        <v>90</v>
      </c>
      <c r="AC54" t="s">
        <v>114</v>
      </c>
      <c r="AD54" t="s">
        <v>109</v>
      </c>
      <c r="AE54">
        <f t="shared" si="1"/>
        <v>5.7694095712923659</v>
      </c>
      <c r="AG54">
        <v>48</v>
      </c>
      <c r="AH54">
        <v>0.1</v>
      </c>
      <c r="AI54">
        <v>100</v>
      </c>
      <c r="AJ54">
        <v>-0.2</v>
      </c>
      <c r="AK54">
        <v>0.3</v>
      </c>
      <c r="AL54">
        <v>90</v>
      </c>
      <c r="AM54" t="s">
        <v>111</v>
      </c>
      <c r="AN54" t="s">
        <v>116</v>
      </c>
      <c r="AO54">
        <f t="shared" si="2"/>
        <v>99.080007230161925</v>
      </c>
      <c r="AQ54">
        <v>48</v>
      </c>
      <c r="AR54">
        <v>0.1</v>
      </c>
      <c r="AS54">
        <v>100</v>
      </c>
      <c r="AT54">
        <v>-0.2</v>
      </c>
      <c r="AU54">
        <v>0.3</v>
      </c>
      <c r="AV54">
        <v>90</v>
      </c>
      <c r="AW54" t="s">
        <v>114</v>
      </c>
      <c r="AX54" t="s">
        <v>116</v>
      </c>
    </row>
    <row r="55" spans="13:50" x14ac:dyDescent="0.25">
      <c r="M55">
        <v>49</v>
      </c>
      <c r="N55">
        <v>0.1</v>
      </c>
      <c r="O55">
        <v>100</v>
      </c>
      <c r="P55">
        <v>-0.2</v>
      </c>
      <c r="Q55">
        <v>0.3</v>
      </c>
      <c r="R55">
        <v>90</v>
      </c>
      <c r="S55" t="s">
        <v>111</v>
      </c>
      <c r="T55" t="s">
        <v>109</v>
      </c>
      <c r="U55">
        <f t="shared" si="0"/>
        <v>99.163690927476651</v>
      </c>
      <c r="W55">
        <v>49</v>
      </c>
      <c r="X55">
        <v>0.1</v>
      </c>
      <c r="Y55">
        <v>100</v>
      </c>
      <c r="Z55">
        <v>-0.2</v>
      </c>
      <c r="AA55">
        <v>0.3</v>
      </c>
      <c r="AB55">
        <v>90</v>
      </c>
      <c r="AC55" t="s">
        <v>114</v>
      </c>
      <c r="AD55" t="s">
        <v>109</v>
      </c>
      <c r="AE55">
        <f t="shared" si="1"/>
        <v>5.7694703839187769</v>
      </c>
      <c r="AG55">
        <v>49</v>
      </c>
      <c r="AH55">
        <v>0.1</v>
      </c>
      <c r="AI55">
        <v>100</v>
      </c>
      <c r="AJ55">
        <v>-0.2</v>
      </c>
      <c r="AK55">
        <v>0.3</v>
      </c>
      <c r="AL55">
        <v>90</v>
      </c>
      <c r="AM55" t="s">
        <v>111</v>
      </c>
      <c r="AN55" t="s">
        <v>116</v>
      </c>
      <c r="AO55">
        <f t="shared" si="2"/>
        <v>99.163690927476651</v>
      </c>
      <c r="AQ55">
        <v>49</v>
      </c>
      <c r="AR55">
        <v>0.1</v>
      </c>
      <c r="AS55">
        <v>100</v>
      </c>
      <c r="AT55">
        <v>-0.2</v>
      </c>
      <c r="AU55">
        <v>0.3</v>
      </c>
      <c r="AV55">
        <v>90</v>
      </c>
      <c r="AW55" t="s">
        <v>114</v>
      </c>
      <c r="AX55" t="s">
        <v>116</v>
      </c>
    </row>
    <row r="56" spans="13:50" x14ac:dyDescent="0.25">
      <c r="M56">
        <v>50</v>
      </c>
      <c r="N56">
        <v>0.1</v>
      </c>
      <c r="O56">
        <v>100</v>
      </c>
      <c r="P56">
        <v>-0.2</v>
      </c>
      <c r="Q56">
        <v>0.3</v>
      </c>
      <c r="R56">
        <v>90</v>
      </c>
      <c r="S56" t="s">
        <v>111</v>
      </c>
      <c r="T56" t="s">
        <v>109</v>
      </c>
      <c r="U56">
        <f t="shared" si="0"/>
        <v>99.239246288774282</v>
      </c>
      <c r="W56">
        <v>50</v>
      </c>
      <c r="X56">
        <v>0.1</v>
      </c>
      <c r="Y56">
        <v>100</v>
      </c>
      <c r="Z56">
        <v>-0.2</v>
      </c>
      <c r="AA56">
        <v>0.3</v>
      </c>
      <c r="AB56">
        <v>90</v>
      </c>
      <c r="AC56" t="s">
        <v>114</v>
      </c>
      <c r="AD56" t="s">
        <v>109</v>
      </c>
      <c r="AE56">
        <f t="shared" si="1"/>
        <v>5.7694703839187769</v>
      </c>
      <c r="AG56">
        <v>50</v>
      </c>
      <c r="AH56">
        <v>0.1</v>
      </c>
      <c r="AI56">
        <v>100</v>
      </c>
      <c r="AJ56">
        <v>-0.2</v>
      </c>
      <c r="AK56">
        <v>0.3</v>
      </c>
      <c r="AL56">
        <v>90</v>
      </c>
      <c r="AM56" t="s">
        <v>111</v>
      </c>
      <c r="AN56" t="s">
        <v>116</v>
      </c>
      <c r="AO56">
        <f t="shared" si="2"/>
        <v>99.239246288774282</v>
      </c>
      <c r="AQ56">
        <v>50</v>
      </c>
      <c r="AR56">
        <v>0.1</v>
      </c>
      <c r="AS56">
        <v>100</v>
      </c>
      <c r="AT56">
        <v>-0.2</v>
      </c>
      <c r="AU56">
        <v>0.3</v>
      </c>
      <c r="AV56">
        <v>90</v>
      </c>
      <c r="AW56" t="s">
        <v>114</v>
      </c>
      <c r="AX56" t="s">
        <v>116</v>
      </c>
    </row>
    <row r="57" spans="13:50" x14ac:dyDescent="0.25">
      <c r="M57">
        <v>51</v>
      </c>
      <c r="N57">
        <v>0.1</v>
      </c>
      <c r="O57">
        <v>100</v>
      </c>
      <c r="P57">
        <v>-0.2</v>
      </c>
      <c r="Q57">
        <v>0.3</v>
      </c>
      <c r="R57">
        <v>90</v>
      </c>
      <c r="S57" t="s">
        <v>111</v>
      </c>
      <c r="T57" t="s">
        <v>109</v>
      </c>
      <c r="U57">
        <f t="shared" si="0"/>
        <v>99.308265714759727</v>
      </c>
      <c r="W57">
        <v>51</v>
      </c>
      <c r="X57">
        <v>0.1</v>
      </c>
      <c r="Y57">
        <v>100</v>
      </c>
      <c r="Z57">
        <v>-0.2</v>
      </c>
      <c r="AA57">
        <v>0.3</v>
      </c>
      <c r="AB57">
        <v>90</v>
      </c>
      <c r="AC57" t="s">
        <v>114</v>
      </c>
      <c r="AD57" t="s">
        <v>109</v>
      </c>
      <c r="AE57">
        <f t="shared" si="1"/>
        <v>5.7695056628215182</v>
      </c>
      <c r="AG57">
        <v>51</v>
      </c>
      <c r="AH57">
        <v>0.1</v>
      </c>
      <c r="AI57">
        <v>100</v>
      </c>
      <c r="AJ57">
        <v>-0.2</v>
      </c>
      <c r="AK57">
        <v>0.3</v>
      </c>
      <c r="AL57">
        <v>90</v>
      </c>
      <c r="AM57" t="s">
        <v>111</v>
      </c>
      <c r="AN57" t="s">
        <v>116</v>
      </c>
      <c r="AO57">
        <f t="shared" si="2"/>
        <v>99.308265714759727</v>
      </c>
      <c r="AQ57">
        <v>51</v>
      </c>
      <c r="AR57">
        <v>0.1</v>
      </c>
      <c r="AS57">
        <v>100</v>
      </c>
      <c r="AT57">
        <v>-0.2</v>
      </c>
      <c r="AU57">
        <v>0.3</v>
      </c>
      <c r="AV57">
        <v>90</v>
      </c>
      <c r="AW57" t="s">
        <v>114</v>
      </c>
      <c r="AX57" t="s">
        <v>116</v>
      </c>
    </row>
    <row r="58" spans="13:50" x14ac:dyDescent="0.25">
      <c r="M58">
        <v>52</v>
      </c>
      <c r="N58">
        <v>0.1</v>
      </c>
      <c r="O58">
        <v>100</v>
      </c>
      <c r="P58">
        <v>-0.2</v>
      </c>
      <c r="Q58">
        <v>0.3</v>
      </c>
      <c r="R58">
        <v>90</v>
      </c>
      <c r="S58" t="s">
        <v>111</v>
      </c>
      <c r="T58" t="s">
        <v>109</v>
      </c>
      <c r="U58">
        <f t="shared" si="0"/>
        <v>99.370930524458871</v>
      </c>
      <c r="W58">
        <v>52</v>
      </c>
      <c r="X58">
        <v>0.1</v>
      </c>
      <c r="Y58">
        <v>100</v>
      </c>
      <c r="Z58">
        <v>-0.2</v>
      </c>
      <c r="AA58">
        <v>0.3</v>
      </c>
      <c r="AB58">
        <v>90</v>
      </c>
      <c r="AC58" t="s">
        <v>114</v>
      </c>
      <c r="AD58" t="s">
        <v>109</v>
      </c>
      <c r="AE58">
        <f t="shared" si="1"/>
        <v>5.7695056628215182</v>
      </c>
      <c r="AG58">
        <v>52</v>
      </c>
      <c r="AH58">
        <v>0.1</v>
      </c>
      <c r="AI58">
        <v>100</v>
      </c>
      <c r="AJ58">
        <v>-0.2</v>
      </c>
      <c r="AK58">
        <v>0.3</v>
      </c>
      <c r="AL58">
        <v>90</v>
      </c>
      <c r="AM58" t="s">
        <v>111</v>
      </c>
      <c r="AN58" t="s">
        <v>116</v>
      </c>
      <c r="AO58">
        <f t="shared" si="2"/>
        <v>99.370930524458871</v>
      </c>
      <c r="AQ58">
        <v>52</v>
      </c>
      <c r="AR58">
        <v>0.1</v>
      </c>
      <c r="AS58">
        <v>100</v>
      </c>
      <c r="AT58">
        <v>-0.2</v>
      </c>
      <c r="AU58">
        <v>0.3</v>
      </c>
      <c r="AV58">
        <v>90</v>
      </c>
      <c r="AW58" t="s">
        <v>114</v>
      </c>
      <c r="AX58" t="s">
        <v>116</v>
      </c>
    </row>
    <row r="59" spans="13:50" x14ac:dyDescent="0.25">
      <c r="M59">
        <v>53</v>
      </c>
      <c r="N59">
        <v>0.1</v>
      </c>
      <c r="O59">
        <v>100</v>
      </c>
      <c r="P59">
        <v>-0.2</v>
      </c>
      <c r="Q59">
        <v>0.3</v>
      </c>
      <c r="R59">
        <v>90</v>
      </c>
      <c r="S59" t="s">
        <v>111</v>
      </c>
      <c r="T59" t="s">
        <v>109</v>
      </c>
      <c r="U59">
        <f t="shared" si="0"/>
        <v>99.42786464441366</v>
      </c>
      <c r="W59">
        <v>53</v>
      </c>
      <c r="X59">
        <v>0.1</v>
      </c>
      <c r="Y59">
        <v>100</v>
      </c>
      <c r="Z59">
        <v>-0.2</v>
      </c>
      <c r="AA59">
        <v>0.3</v>
      </c>
      <c r="AB59">
        <v>90</v>
      </c>
      <c r="AC59" t="s">
        <v>114</v>
      </c>
      <c r="AD59" t="s">
        <v>109</v>
      </c>
      <c r="AE59">
        <f t="shared" si="1"/>
        <v>5.769528414301365</v>
      </c>
      <c r="AG59">
        <v>53</v>
      </c>
      <c r="AH59">
        <v>0.1</v>
      </c>
      <c r="AI59">
        <v>100</v>
      </c>
      <c r="AJ59">
        <v>-0.2</v>
      </c>
      <c r="AK59">
        <v>0.3</v>
      </c>
      <c r="AL59">
        <v>90</v>
      </c>
      <c r="AM59" t="s">
        <v>111</v>
      </c>
      <c r="AN59" t="s">
        <v>116</v>
      </c>
      <c r="AO59">
        <f t="shared" si="2"/>
        <v>99.42786464441366</v>
      </c>
      <c r="AQ59">
        <v>53</v>
      </c>
      <c r="AR59">
        <v>0.1</v>
      </c>
      <c r="AS59">
        <v>100</v>
      </c>
      <c r="AT59">
        <v>-0.2</v>
      </c>
      <c r="AU59">
        <v>0.3</v>
      </c>
      <c r="AV59">
        <v>90</v>
      </c>
      <c r="AW59" t="s">
        <v>114</v>
      </c>
      <c r="AX59" t="s">
        <v>116</v>
      </c>
    </row>
    <row r="60" spans="13:50" x14ac:dyDescent="0.25">
      <c r="M60">
        <v>54</v>
      </c>
      <c r="N60">
        <v>0.1</v>
      </c>
      <c r="O60">
        <v>100</v>
      </c>
      <c r="P60">
        <v>-0.2</v>
      </c>
      <c r="Q60">
        <v>0.3</v>
      </c>
      <c r="R60">
        <v>90</v>
      </c>
      <c r="S60" t="s">
        <v>111</v>
      </c>
      <c r="T60" t="s">
        <v>109</v>
      </c>
      <c r="U60">
        <f t="shared" si="0"/>
        <v>99.479827584525523</v>
      </c>
      <c r="W60">
        <v>54</v>
      </c>
      <c r="X60">
        <v>0.1</v>
      </c>
      <c r="Y60">
        <v>100</v>
      </c>
      <c r="Z60">
        <v>-0.2</v>
      </c>
      <c r="AA60">
        <v>0.3</v>
      </c>
      <c r="AB60">
        <v>90</v>
      </c>
      <c r="AC60" t="s">
        <v>114</v>
      </c>
      <c r="AD60" t="s">
        <v>109</v>
      </c>
      <c r="AE60">
        <f t="shared" si="1"/>
        <v>5.7695377876056098</v>
      </c>
      <c r="AG60">
        <v>54</v>
      </c>
      <c r="AH60">
        <v>0.1</v>
      </c>
      <c r="AI60">
        <v>100</v>
      </c>
      <c r="AJ60">
        <v>-0.2</v>
      </c>
      <c r="AK60">
        <v>0.3</v>
      </c>
      <c r="AL60">
        <v>90</v>
      </c>
      <c r="AM60" t="s">
        <v>111</v>
      </c>
      <c r="AN60" t="s">
        <v>116</v>
      </c>
      <c r="AO60">
        <f t="shared" si="2"/>
        <v>99.479827584525523</v>
      </c>
      <c r="AQ60">
        <v>54</v>
      </c>
      <c r="AR60">
        <v>0.1</v>
      </c>
      <c r="AS60">
        <v>100</v>
      </c>
      <c r="AT60">
        <v>-0.2</v>
      </c>
      <c r="AU60">
        <v>0.3</v>
      </c>
      <c r="AV60">
        <v>90</v>
      </c>
      <c r="AW60" t="s">
        <v>114</v>
      </c>
      <c r="AX60" t="s">
        <v>116</v>
      </c>
    </row>
    <row r="61" spans="13:50" x14ac:dyDescent="0.25">
      <c r="M61">
        <v>55</v>
      </c>
      <c r="N61">
        <v>0.1</v>
      </c>
      <c r="O61">
        <v>100</v>
      </c>
      <c r="P61">
        <v>-0.2</v>
      </c>
      <c r="Q61">
        <v>0.3</v>
      </c>
      <c r="R61">
        <v>90</v>
      </c>
      <c r="S61" t="s">
        <v>111</v>
      </c>
      <c r="T61" t="s">
        <v>109</v>
      </c>
      <c r="U61">
        <f t="shared" si="0"/>
        <v>99.526799570140241</v>
      </c>
      <c r="W61">
        <v>55</v>
      </c>
      <c r="X61">
        <v>0.1</v>
      </c>
      <c r="Y61">
        <v>100</v>
      </c>
      <c r="Z61">
        <v>-0.2</v>
      </c>
      <c r="AA61">
        <v>0.3</v>
      </c>
      <c r="AB61">
        <v>90</v>
      </c>
      <c r="AC61" t="s">
        <v>114</v>
      </c>
      <c r="AD61" t="s">
        <v>109</v>
      </c>
      <c r="AE61">
        <f t="shared" si="1"/>
        <v>5.7695466731662099</v>
      </c>
      <c r="AG61">
        <v>55</v>
      </c>
      <c r="AH61">
        <v>0.1</v>
      </c>
      <c r="AI61">
        <v>100</v>
      </c>
      <c r="AJ61">
        <v>-0.2</v>
      </c>
      <c r="AK61">
        <v>0.3</v>
      </c>
      <c r="AL61">
        <v>90</v>
      </c>
      <c r="AM61" t="s">
        <v>111</v>
      </c>
      <c r="AN61" t="s">
        <v>116</v>
      </c>
      <c r="AO61">
        <f t="shared" si="2"/>
        <v>99.526799570140241</v>
      </c>
      <c r="AQ61">
        <v>55</v>
      </c>
      <c r="AR61">
        <v>0.1</v>
      </c>
      <c r="AS61">
        <v>100</v>
      </c>
      <c r="AT61">
        <v>-0.2</v>
      </c>
      <c r="AU61">
        <v>0.3</v>
      </c>
      <c r="AV61">
        <v>90</v>
      </c>
      <c r="AW61" t="s">
        <v>114</v>
      </c>
      <c r="AX61" t="s">
        <v>116</v>
      </c>
    </row>
    <row r="62" spans="13:50" x14ac:dyDescent="0.25">
      <c r="M62">
        <v>56</v>
      </c>
      <c r="N62">
        <v>0.1</v>
      </c>
      <c r="O62">
        <v>100</v>
      </c>
      <c r="P62">
        <v>-0.2</v>
      </c>
      <c r="Q62">
        <v>0.3</v>
      </c>
      <c r="R62">
        <v>90</v>
      </c>
      <c r="S62" t="s">
        <v>111</v>
      </c>
      <c r="T62" t="s">
        <v>109</v>
      </c>
      <c r="U62">
        <f t="shared" si="0"/>
        <v>99.569879960816777</v>
      </c>
      <c r="W62">
        <v>56</v>
      </c>
      <c r="X62">
        <v>0.1</v>
      </c>
      <c r="Y62">
        <v>100</v>
      </c>
      <c r="Z62">
        <v>-0.2</v>
      </c>
      <c r="AA62">
        <v>0.3</v>
      </c>
      <c r="AB62">
        <v>90</v>
      </c>
      <c r="AC62" t="s">
        <v>114</v>
      </c>
      <c r="AD62" t="s">
        <v>109</v>
      </c>
      <c r="AE62">
        <f t="shared" si="1"/>
        <v>5.769562353893817</v>
      </c>
      <c r="AG62">
        <v>56</v>
      </c>
      <c r="AH62">
        <v>0.1</v>
      </c>
      <c r="AI62">
        <v>100</v>
      </c>
      <c r="AJ62">
        <v>-0.2</v>
      </c>
      <c r="AK62">
        <v>0.3</v>
      </c>
      <c r="AL62">
        <v>90</v>
      </c>
      <c r="AM62" t="s">
        <v>111</v>
      </c>
      <c r="AN62" t="s">
        <v>116</v>
      </c>
      <c r="AO62">
        <f t="shared" si="2"/>
        <v>99.569879960816777</v>
      </c>
      <c r="AQ62">
        <v>56</v>
      </c>
      <c r="AR62">
        <v>0.1</v>
      </c>
      <c r="AS62">
        <v>100</v>
      </c>
      <c r="AT62">
        <v>-0.2</v>
      </c>
      <c r="AU62">
        <v>0.3</v>
      </c>
      <c r="AV62">
        <v>90</v>
      </c>
      <c r="AW62" t="s">
        <v>114</v>
      </c>
      <c r="AX62" t="s">
        <v>116</v>
      </c>
    </row>
    <row r="63" spans="13:50" x14ac:dyDescent="0.25">
      <c r="M63">
        <v>57</v>
      </c>
      <c r="N63">
        <v>0.1</v>
      </c>
      <c r="O63">
        <v>100</v>
      </c>
      <c r="P63">
        <v>-0.2</v>
      </c>
      <c r="Q63">
        <v>0.3</v>
      </c>
      <c r="R63">
        <v>90</v>
      </c>
      <c r="S63" t="s">
        <v>111</v>
      </c>
      <c r="T63" t="s">
        <v>109</v>
      </c>
      <c r="U63">
        <f t="shared" si="0"/>
        <v>99.608673938857606</v>
      </c>
      <c r="W63">
        <v>57</v>
      </c>
      <c r="X63">
        <v>0.1</v>
      </c>
      <c r="Y63">
        <v>100</v>
      </c>
      <c r="Z63">
        <v>-0.2</v>
      </c>
      <c r="AA63">
        <v>0.3</v>
      </c>
      <c r="AB63">
        <v>90</v>
      </c>
      <c r="AC63" t="s">
        <v>114</v>
      </c>
      <c r="AD63" t="s">
        <v>109</v>
      </c>
      <c r="AE63">
        <f t="shared" si="1"/>
        <v>5.769562353893817</v>
      </c>
      <c r="AG63">
        <v>57</v>
      </c>
      <c r="AH63">
        <v>0.1</v>
      </c>
      <c r="AI63">
        <v>100</v>
      </c>
      <c r="AJ63">
        <v>-0.2</v>
      </c>
      <c r="AK63">
        <v>0.3</v>
      </c>
      <c r="AL63">
        <v>90</v>
      </c>
      <c r="AM63" t="s">
        <v>111</v>
      </c>
      <c r="AN63" t="s">
        <v>116</v>
      </c>
      <c r="AO63">
        <f t="shared" si="2"/>
        <v>99.608673938857606</v>
      </c>
      <c r="AQ63">
        <v>57</v>
      </c>
      <c r="AR63">
        <v>0.1</v>
      </c>
      <c r="AS63">
        <v>100</v>
      </c>
      <c r="AT63">
        <v>-0.2</v>
      </c>
      <c r="AU63">
        <v>0.3</v>
      </c>
      <c r="AV63">
        <v>90</v>
      </c>
      <c r="AW63" t="s">
        <v>114</v>
      </c>
      <c r="AX63" t="s">
        <v>116</v>
      </c>
    </row>
    <row r="64" spans="13:50" x14ac:dyDescent="0.25">
      <c r="M64">
        <v>58</v>
      </c>
      <c r="N64">
        <v>0.1</v>
      </c>
      <c r="O64">
        <v>100</v>
      </c>
      <c r="P64">
        <v>-0.2</v>
      </c>
      <c r="Q64">
        <v>0.3</v>
      </c>
      <c r="R64">
        <v>90</v>
      </c>
      <c r="S64" t="s">
        <v>111</v>
      </c>
      <c r="T64" t="s">
        <v>109</v>
      </c>
      <c r="U64">
        <f t="shared" si="0"/>
        <v>99.644347954487031</v>
      </c>
      <c r="W64">
        <v>58</v>
      </c>
      <c r="X64">
        <v>0.1</v>
      </c>
      <c r="Y64">
        <v>100</v>
      </c>
      <c r="Z64">
        <v>-0.2</v>
      </c>
      <c r="AA64">
        <v>0.3</v>
      </c>
      <c r="AB64">
        <v>90</v>
      </c>
      <c r="AC64" t="s">
        <v>114</v>
      </c>
      <c r="AD64" t="s">
        <v>109</v>
      </c>
      <c r="AE64">
        <f t="shared" si="1"/>
        <v>5.7695793479918196</v>
      </c>
      <c r="AG64">
        <v>58</v>
      </c>
      <c r="AH64">
        <v>0.1</v>
      </c>
      <c r="AI64">
        <v>100</v>
      </c>
      <c r="AJ64">
        <v>-0.2</v>
      </c>
      <c r="AK64">
        <v>0.3</v>
      </c>
      <c r="AL64">
        <v>90</v>
      </c>
      <c r="AM64" t="s">
        <v>111</v>
      </c>
      <c r="AN64" t="s">
        <v>116</v>
      </c>
      <c r="AO64">
        <f t="shared" si="2"/>
        <v>99.644347954487031</v>
      </c>
      <c r="AQ64">
        <v>58</v>
      </c>
      <c r="AR64">
        <v>0.1</v>
      </c>
      <c r="AS64">
        <v>100</v>
      </c>
      <c r="AT64">
        <v>-0.2</v>
      </c>
      <c r="AU64">
        <v>0.3</v>
      </c>
      <c r="AV64">
        <v>90</v>
      </c>
      <c r="AW64" t="s">
        <v>114</v>
      </c>
      <c r="AX64" t="s">
        <v>116</v>
      </c>
    </row>
    <row r="65" spans="13:50" x14ac:dyDescent="0.25">
      <c r="M65">
        <v>59</v>
      </c>
      <c r="N65">
        <v>0.1</v>
      </c>
      <c r="O65">
        <v>100</v>
      </c>
      <c r="P65">
        <v>-0.2</v>
      </c>
      <c r="Q65">
        <v>0.3</v>
      </c>
      <c r="R65">
        <v>90</v>
      </c>
      <c r="S65" t="s">
        <v>111</v>
      </c>
      <c r="T65" t="s">
        <v>109</v>
      </c>
      <c r="U65">
        <f t="shared" si="0"/>
        <v>99.676480921749047</v>
      </c>
      <c r="W65">
        <v>59</v>
      </c>
      <c r="X65">
        <v>0.1</v>
      </c>
      <c r="Y65">
        <v>100</v>
      </c>
      <c r="Z65">
        <v>-0.2</v>
      </c>
      <c r="AA65">
        <v>0.3</v>
      </c>
      <c r="AB65">
        <v>90</v>
      </c>
      <c r="AC65" t="s">
        <v>114</v>
      </c>
      <c r="AD65" t="s">
        <v>109</v>
      </c>
      <c r="AE65">
        <f t="shared" si="1"/>
        <v>5.7695793479918196</v>
      </c>
      <c r="AG65">
        <v>59</v>
      </c>
      <c r="AH65">
        <v>0.1</v>
      </c>
      <c r="AI65">
        <v>100</v>
      </c>
      <c r="AJ65">
        <v>-0.2</v>
      </c>
      <c r="AK65">
        <v>0.3</v>
      </c>
      <c r="AL65">
        <v>90</v>
      </c>
      <c r="AM65" t="s">
        <v>111</v>
      </c>
      <c r="AN65" t="s">
        <v>116</v>
      </c>
      <c r="AO65">
        <f t="shared" si="2"/>
        <v>99.676480921749047</v>
      </c>
      <c r="AQ65">
        <v>59</v>
      </c>
      <c r="AR65">
        <v>0.1</v>
      </c>
      <c r="AS65">
        <v>100</v>
      </c>
      <c r="AT65">
        <v>-0.2</v>
      </c>
      <c r="AU65">
        <v>0.3</v>
      </c>
      <c r="AV65">
        <v>90</v>
      </c>
      <c r="AW65" t="s">
        <v>114</v>
      </c>
      <c r="AX65" t="s">
        <v>116</v>
      </c>
    </row>
    <row r="66" spans="13:50" x14ac:dyDescent="0.25">
      <c r="M66">
        <v>60</v>
      </c>
      <c r="N66">
        <v>0.1</v>
      </c>
      <c r="O66">
        <v>100</v>
      </c>
      <c r="P66">
        <v>-0.2</v>
      </c>
      <c r="Q66">
        <v>0.3</v>
      </c>
      <c r="R66">
        <v>90</v>
      </c>
      <c r="S66" t="s">
        <v>111</v>
      </c>
      <c r="T66" t="s">
        <v>109</v>
      </c>
      <c r="U66">
        <f t="shared" si="0"/>
        <v>99.705927807508999</v>
      </c>
      <c r="W66">
        <v>60</v>
      </c>
      <c r="X66">
        <v>0.1</v>
      </c>
      <c r="Y66">
        <v>100</v>
      </c>
      <c r="Z66">
        <v>-0.2</v>
      </c>
      <c r="AA66">
        <v>0.3</v>
      </c>
      <c r="AB66">
        <v>90</v>
      </c>
      <c r="AC66" t="s">
        <v>114</v>
      </c>
      <c r="AD66" t="s">
        <v>109</v>
      </c>
      <c r="AE66">
        <f t="shared" si="1"/>
        <v>5.7695905847733009</v>
      </c>
      <c r="AG66">
        <v>60</v>
      </c>
      <c r="AH66">
        <v>0.1</v>
      </c>
      <c r="AI66">
        <v>100</v>
      </c>
      <c r="AJ66">
        <v>-0.2</v>
      </c>
      <c r="AK66">
        <v>0.3</v>
      </c>
      <c r="AL66">
        <v>90</v>
      </c>
      <c r="AM66" t="s">
        <v>111</v>
      </c>
      <c r="AN66" t="s">
        <v>116</v>
      </c>
      <c r="AO66">
        <f t="shared" si="2"/>
        <v>99.705927807508999</v>
      </c>
      <c r="AQ66">
        <v>60</v>
      </c>
      <c r="AR66">
        <v>0.1</v>
      </c>
      <c r="AS66">
        <v>100</v>
      </c>
      <c r="AT66">
        <v>-0.2</v>
      </c>
      <c r="AU66">
        <v>0.3</v>
      </c>
      <c r="AV66">
        <v>90</v>
      </c>
      <c r="AW66" t="s">
        <v>114</v>
      </c>
      <c r="AX66" t="s">
        <v>116</v>
      </c>
    </row>
    <row r="67" spans="13:50" x14ac:dyDescent="0.25">
      <c r="M67">
        <v>61</v>
      </c>
      <c r="N67">
        <v>0.1</v>
      </c>
      <c r="O67">
        <v>100</v>
      </c>
      <c r="P67">
        <v>-0.2</v>
      </c>
      <c r="Q67">
        <v>0.3</v>
      </c>
      <c r="R67">
        <v>90</v>
      </c>
      <c r="S67" t="s">
        <v>111</v>
      </c>
      <c r="T67" t="s">
        <v>109</v>
      </c>
      <c r="U67">
        <f t="shared" si="0"/>
        <v>99.732540525756463</v>
      </c>
      <c r="W67">
        <v>61</v>
      </c>
      <c r="X67">
        <v>0.1</v>
      </c>
      <c r="Y67">
        <v>100</v>
      </c>
      <c r="Z67">
        <v>-0.2</v>
      </c>
      <c r="AA67">
        <v>0.3</v>
      </c>
      <c r="AB67">
        <v>90</v>
      </c>
      <c r="AC67" t="s">
        <v>114</v>
      </c>
      <c r="AD67" t="s">
        <v>109</v>
      </c>
      <c r="AE67">
        <f t="shared" si="1"/>
        <v>5.7695905847733009</v>
      </c>
      <c r="AG67">
        <v>61</v>
      </c>
      <c r="AH67">
        <v>0.1</v>
      </c>
      <c r="AI67">
        <v>100</v>
      </c>
      <c r="AJ67">
        <v>-0.2</v>
      </c>
      <c r="AK67">
        <v>0.3</v>
      </c>
      <c r="AL67">
        <v>90</v>
      </c>
      <c r="AM67" t="s">
        <v>111</v>
      </c>
      <c r="AN67" t="s">
        <v>116</v>
      </c>
      <c r="AO67">
        <f t="shared" si="2"/>
        <v>99.732540525756463</v>
      </c>
      <c r="AQ67">
        <v>61</v>
      </c>
      <c r="AR67">
        <v>0.1</v>
      </c>
      <c r="AS67">
        <v>100</v>
      </c>
      <c r="AT67">
        <v>-0.2</v>
      </c>
      <c r="AU67">
        <v>0.3</v>
      </c>
      <c r="AV67">
        <v>90</v>
      </c>
      <c r="AW67" t="s">
        <v>114</v>
      </c>
      <c r="AX67" t="s">
        <v>116</v>
      </c>
    </row>
    <row r="68" spans="13:50" x14ac:dyDescent="0.25">
      <c r="M68">
        <v>62</v>
      </c>
      <c r="N68">
        <v>0.1</v>
      </c>
      <c r="O68">
        <v>100</v>
      </c>
      <c r="P68">
        <v>-0.2</v>
      </c>
      <c r="Q68">
        <v>0.3</v>
      </c>
      <c r="R68">
        <v>90</v>
      </c>
      <c r="S68" t="s">
        <v>111</v>
      </c>
      <c r="T68" t="s">
        <v>109</v>
      </c>
      <c r="U68">
        <f t="shared" si="0"/>
        <v>99.756849337746246</v>
      </c>
      <c r="W68">
        <v>62</v>
      </c>
      <c r="X68">
        <v>0.1</v>
      </c>
      <c r="Y68">
        <v>100</v>
      </c>
      <c r="Z68">
        <v>-0.2</v>
      </c>
      <c r="AA68">
        <v>0.3</v>
      </c>
      <c r="AB68">
        <v>90</v>
      </c>
      <c r="AC68" t="s">
        <v>114</v>
      </c>
      <c r="AD68" t="s">
        <v>109</v>
      </c>
      <c r="AE68">
        <f t="shared" si="1"/>
        <v>5.7695975919647653</v>
      </c>
      <c r="AG68">
        <v>62</v>
      </c>
      <c r="AH68">
        <v>0.1</v>
      </c>
      <c r="AI68">
        <v>100</v>
      </c>
      <c r="AJ68">
        <v>-0.2</v>
      </c>
      <c r="AK68">
        <v>0.3</v>
      </c>
      <c r="AL68">
        <v>90</v>
      </c>
      <c r="AM68" t="s">
        <v>111</v>
      </c>
      <c r="AN68" t="s">
        <v>116</v>
      </c>
      <c r="AO68">
        <f t="shared" si="2"/>
        <v>99.756849337746246</v>
      </c>
      <c r="AQ68">
        <v>62</v>
      </c>
      <c r="AR68">
        <v>0.1</v>
      </c>
      <c r="AS68">
        <v>100</v>
      </c>
      <c r="AT68">
        <v>-0.2</v>
      </c>
      <c r="AU68">
        <v>0.3</v>
      </c>
      <c r="AV68">
        <v>90</v>
      </c>
      <c r="AW68" t="s">
        <v>114</v>
      </c>
      <c r="AX68" t="s">
        <v>116</v>
      </c>
    </row>
    <row r="69" spans="13:50" x14ac:dyDescent="0.25">
      <c r="M69">
        <v>63</v>
      </c>
      <c r="N69">
        <v>0.1</v>
      </c>
      <c r="O69">
        <v>100</v>
      </c>
      <c r="P69">
        <v>-0.2</v>
      </c>
      <c r="Q69">
        <v>0.3</v>
      </c>
      <c r="R69">
        <v>90</v>
      </c>
      <c r="S69" t="s">
        <v>111</v>
      </c>
      <c r="T69" t="s">
        <v>109</v>
      </c>
      <c r="U69">
        <f t="shared" si="0"/>
        <v>99.77888779532563</v>
      </c>
      <c r="W69">
        <v>63</v>
      </c>
      <c r="X69">
        <v>0.1</v>
      </c>
      <c r="Y69">
        <v>100</v>
      </c>
      <c r="Z69">
        <v>-0.2</v>
      </c>
      <c r="AA69">
        <v>0.3</v>
      </c>
      <c r="AB69">
        <v>90</v>
      </c>
      <c r="AC69" t="s">
        <v>114</v>
      </c>
      <c r="AD69" t="s">
        <v>109</v>
      </c>
      <c r="AE69">
        <f t="shared" si="1"/>
        <v>5.7695975919647653</v>
      </c>
      <c r="AG69">
        <v>63</v>
      </c>
      <c r="AH69">
        <v>0.1</v>
      </c>
      <c r="AI69">
        <v>100</v>
      </c>
      <c r="AJ69">
        <v>-0.2</v>
      </c>
      <c r="AK69">
        <v>0.3</v>
      </c>
      <c r="AL69">
        <v>90</v>
      </c>
      <c r="AM69" t="s">
        <v>111</v>
      </c>
      <c r="AN69" t="s">
        <v>116</v>
      </c>
      <c r="AO69">
        <f t="shared" si="2"/>
        <v>99.77888779532563</v>
      </c>
      <c r="AQ69">
        <v>63</v>
      </c>
      <c r="AR69">
        <v>0.1</v>
      </c>
      <c r="AS69">
        <v>100</v>
      </c>
      <c r="AT69">
        <v>-0.2</v>
      </c>
      <c r="AU69">
        <v>0.3</v>
      </c>
      <c r="AV69">
        <v>90</v>
      </c>
      <c r="AW69" t="s">
        <v>114</v>
      </c>
      <c r="AX69" t="s">
        <v>116</v>
      </c>
    </row>
    <row r="70" spans="13:50" x14ac:dyDescent="0.25">
      <c r="M70">
        <v>64</v>
      </c>
      <c r="N70">
        <v>0.1</v>
      </c>
      <c r="O70">
        <v>100</v>
      </c>
      <c r="P70">
        <v>-0.2</v>
      </c>
      <c r="Q70">
        <v>0.3</v>
      </c>
      <c r="R70">
        <v>90</v>
      </c>
      <c r="S70" t="s">
        <v>111</v>
      </c>
      <c r="T70" t="s">
        <v>109</v>
      </c>
      <c r="U70">
        <f t="shared" si="0"/>
        <v>99.798956649023282</v>
      </c>
      <c r="W70">
        <v>64</v>
      </c>
      <c r="X70">
        <v>0.1</v>
      </c>
      <c r="Y70">
        <v>100</v>
      </c>
      <c r="Z70">
        <v>-0.2</v>
      </c>
      <c r="AA70">
        <v>0.3</v>
      </c>
      <c r="AB70">
        <v>90</v>
      </c>
      <c r="AC70" t="s">
        <v>114</v>
      </c>
      <c r="AD70" t="s">
        <v>109</v>
      </c>
      <c r="AE70">
        <f t="shared" si="1"/>
        <v>5.7696016406547086</v>
      </c>
      <c r="AG70">
        <v>64</v>
      </c>
      <c r="AH70">
        <v>0.1</v>
      </c>
      <c r="AI70">
        <v>100</v>
      </c>
      <c r="AJ70">
        <v>-0.2</v>
      </c>
      <c r="AK70">
        <v>0.3</v>
      </c>
      <c r="AL70">
        <v>90</v>
      </c>
      <c r="AM70" t="s">
        <v>111</v>
      </c>
      <c r="AN70" t="s">
        <v>116</v>
      </c>
      <c r="AO70">
        <f t="shared" si="2"/>
        <v>99.798956649023282</v>
      </c>
      <c r="AQ70">
        <v>64</v>
      </c>
      <c r="AR70">
        <v>0.1</v>
      </c>
      <c r="AS70">
        <v>100</v>
      </c>
      <c r="AT70">
        <v>-0.2</v>
      </c>
      <c r="AU70">
        <v>0.3</v>
      </c>
      <c r="AV70">
        <v>90</v>
      </c>
      <c r="AW70" t="s">
        <v>114</v>
      </c>
      <c r="AX70" t="s">
        <v>116</v>
      </c>
    </row>
    <row r="71" spans="13:50" x14ac:dyDescent="0.25">
      <c r="M71">
        <v>65</v>
      </c>
      <c r="N71">
        <v>0.1</v>
      </c>
      <c r="O71">
        <v>100</v>
      </c>
      <c r="P71">
        <v>-0.2</v>
      </c>
      <c r="Q71">
        <v>0.3</v>
      </c>
      <c r="R71">
        <v>90</v>
      </c>
      <c r="S71" t="s">
        <v>111</v>
      </c>
      <c r="T71" t="s">
        <v>109</v>
      </c>
      <c r="U71">
        <f t="shared" si="0"/>
        <v>99.817205202831289</v>
      </c>
      <c r="W71">
        <v>65</v>
      </c>
      <c r="X71">
        <v>0.1</v>
      </c>
      <c r="Y71">
        <v>100</v>
      </c>
      <c r="Z71">
        <v>-0.2</v>
      </c>
      <c r="AA71">
        <v>0.3</v>
      </c>
      <c r="AB71">
        <v>90</v>
      </c>
      <c r="AC71" t="s">
        <v>114</v>
      </c>
      <c r="AD71" t="s">
        <v>109</v>
      </c>
      <c r="AE71">
        <f t="shared" si="1"/>
        <v>5.7696020630930702</v>
      </c>
      <c r="AG71">
        <v>65</v>
      </c>
      <c r="AH71">
        <v>0.1</v>
      </c>
      <c r="AI71">
        <v>100</v>
      </c>
      <c r="AJ71">
        <v>-0.2</v>
      </c>
      <c r="AK71">
        <v>0.3</v>
      </c>
      <c r="AL71">
        <v>90</v>
      </c>
      <c r="AM71" t="s">
        <v>111</v>
      </c>
      <c r="AN71" t="s">
        <v>116</v>
      </c>
      <c r="AO71">
        <f t="shared" si="2"/>
        <v>99.817205202831289</v>
      </c>
      <c r="AQ71">
        <v>65</v>
      </c>
      <c r="AR71">
        <v>0.1</v>
      </c>
      <c r="AS71">
        <v>100</v>
      </c>
      <c r="AT71">
        <v>-0.2</v>
      </c>
      <c r="AU71">
        <v>0.3</v>
      </c>
      <c r="AV71">
        <v>90</v>
      </c>
      <c r="AW71" t="s">
        <v>114</v>
      </c>
      <c r="AX71" t="s">
        <v>116</v>
      </c>
    </row>
    <row r="72" spans="13:50" x14ac:dyDescent="0.25">
      <c r="M72">
        <v>66</v>
      </c>
      <c r="N72">
        <v>0.1</v>
      </c>
      <c r="O72">
        <v>100</v>
      </c>
      <c r="P72">
        <v>-0.2</v>
      </c>
      <c r="Q72">
        <v>0.3</v>
      </c>
      <c r="R72">
        <v>90</v>
      </c>
      <c r="S72" t="s">
        <v>111</v>
      </c>
      <c r="T72" t="s">
        <v>109</v>
      </c>
      <c r="U72">
        <f t="shared" ref="U72:U106" si="4">CRR(M72,N72,O72,P72,Q72,R72,S72,T72)</f>
        <v>99.833774859990399</v>
      </c>
      <c r="W72">
        <v>66</v>
      </c>
      <c r="X72">
        <v>0.1</v>
      </c>
      <c r="Y72">
        <v>100</v>
      </c>
      <c r="Z72">
        <v>-0.2</v>
      </c>
      <c r="AA72">
        <v>0.3</v>
      </c>
      <c r="AB72">
        <v>90</v>
      </c>
      <c r="AC72" t="s">
        <v>114</v>
      </c>
      <c r="AD72" t="s">
        <v>109</v>
      </c>
      <c r="AE72">
        <f t="shared" ref="AE72:AE106" si="5">CRR(W72,X72,Y72,Z72,AA72,AB72,AC72,AD72)</f>
        <v>5.7696046636133262</v>
      </c>
      <c r="AG72">
        <v>66</v>
      </c>
      <c r="AH72">
        <v>0.1</v>
      </c>
      <c r="AI72">
        <v>100</v>
      </c>
      <c r="AJ72">
        <v>-0.2</v>
      </c>
      <c r="AK72">
        <v>0.3</v>
      </c>
      <c r="AL72">
        <v>90</v>
      </c>
      <c r="AM72" t="s">
        <v>111</v>
      </c>
      <c r="AN72" t="s">
        <v>116</v>
      </c>
      <c r="AO72">
        <f t="shared" ref="AO72:AO106" si="6">CRR(AG72,AH72,AI72,AJ72,AK72,AL72,AM72,AN72)</f>
        <v>99.833774859990399</v>
      </c>
      <c r="AQ72">
        <v>66</v>
      </c>
      <c r="AR72">
        <v>0.1</v>
      </c>
      <c r="AS72">
        <v>100</v>
      </c>
      <c r="AT72">
        <v>-0.2</v>
      </c>
      <c r="AU72">
        <v>0.3</v>
      </c>
      <c r="AV72">
        <v>90</v>
      </c>
      <c r="AW72" t="s">
        <v>114</v>
      </c>
      <c r="AX72" t="s">
        <v>116</v>
      </c>
    </row>
    <row r="73" spans="13:50" x14ac:dyDescent="0.25">
      <c r="M73">
        <v>67</v>
      </c>
      <c r="N73">
        <v>0.1</v>
      </c>
      <c r="O73">
        <v>100</v>
      </c>
      <c r="P73">
        <v>-0.2</v>
      </c>
      <c r="Q73">
        <v>0.3</v>
      </c>
      <c r="R73">
        <v>90</v>
      </c>
      <c r="S73" t="s">
        <v>111</v>
      </c>
      <c r="T73" t="s">
        <v>109</v>
      </c>
      <c r="U73">
        <f t="shared" si="4"/>
        <v>99.848883757810938</v>
      </c>
      <c r="W73">
        <v>67</v>
      </c>
      <c r="X73">
        <v>0.1</v>
      </c>
      <c r="Y73">
        <v>100</v>
      </c>
      <c r="Z73">
        <v>-0.2</v>
      </c>
      <c r="AA73">
        <v>0.3</v>
      </c>
      <c r="AB73">
        <v>90</v>
      </c>
      <c r="AC73" t="s">
        <v>114</v>
      </c>
      <c r="AD73" t="s">
        <v>109</v>
      </c>
      <c r="AE73">
        <f t="shared" si="5"/>
        <v>5.7696062401523287</v>
      </c>
      <c r="AG73">
        <v>67</v>
      </c>
      <c r="AH73">
        <v>0.1</v>
      </c>
      <c r="AI73">
        <v>100</v>
      </c>
      <c r="AJ73">
        <v>-0.2</v>
      </c>
      <c r="AK73">
        <v>0.3</v>
      </c>
      <c r="AL73">
        <v>90</v>
      </c>
      <c r="AM73" t="s">
        <v>111</v>
      </c>
      <c r="AN73" t="s">
        <v>116</v>
      </c>
      <c r="AO73">
        <f t="shared" si="6"/>
        <v>99.848883757810938</v>
      </c>
      <c r="AQ73">
        <v>67</v>
      </c>
      <c r="AR73">
        <v>0.1</v>
      </c>
      <c r="AS73">
        <v>100</v>
      </c>
      <c r="AT73">
        <v>-0.2</v>
      </c>
      <c r="AU73">
        <v>0.3</v>
      </c>
      <c r="AV73">
        <v>90</v>
      </c>
      <c r="AW73" t="s">
        <v>114</v>
      </c>
      <c r="AX73" t="s">
        <v>116</v>
      </c>
    </row>
    <row r="74" spans="13:50" x14ac:dyDescent="0.25">
      <c r="M74">
        <v>68</v>
      </c>
      <c r="N74">
        <v>0.1</v>
      </c>
      <c r="O74">
        <v>100</v>
      </c>
      <c r="P74">
        <v>-0.2</v>
      </c>
      <c r="Q74">
        <v>0.3</v>
      </c>
      <c r="R74">
        <v>90</v>
      </c>
      <c r="S74" t="s">
        <v>111</v>
      </c>
      <c r="T74" t="s">
        <v>109</v>
      </c>
      <c r="U74">
        <f t="shared" si="4"/>
        <v>99.862565280049722</v>
      </c>
      <c r="W74">
        <v>68</v>
      </c>
      <c r="X74">
        <v>0.1</v>
      </c>
      <c r="Y74">
        <v>100</v>
      </c>
      <c r="Z74">
        <v>-0.2</v>
      </c>
      <c r="AA74">
        <v>0.3</v>
      </c>
      <c r="AB74">
        <v>90</v>
      </c>
      <c r="AC74" t="s">
        <v>114</v>
      </c>
      <c r="AD74" t="s">
        <v>109</v>
      </c>
      <c r="AE74">
        <f t="shared" si="5"/>
        <v>5.769606921660249</v>
      </c>
      <c r="AG74">
        <v>68</v>
      </c>
      <c r="AH74">
        <v>0.1</v>
      </c>
      <c r="AI74">
        <v>100</v>
      </c>
      <c r="AJ74">
        <v>-0.2</v>
      </c>
      <c r="AK74">
        <v>0.3</v>
      </c>
      <c r="AL74">
        <v>90</v>
      </c>
      <c r="AM74" t="s">
        <v>111</v>
      </c>
      <c r="AN74" t="s">
        <v>116</v>
      </c>
      <c r="AO74">
        <f t="shared" si="6"/>
        <v>99.862565280049722</v>
      </c>
      <c r="AQ74">
        <v>68</v>
      </c>
      <c r="AR74">
        <v>0.1</v>
      </c>
      <c r="AS74">
        <v>100</v>
      </c>
      <c r="AT74">
        <v>-0.2</v>
      </c>
      <c r="AU74">
        <v>0.3</v>
      </c>
      <c r="AV74">
        <v>90</v>
      </c>
      <c r="AW74" t="s">
        <v>114</v>
      </c>
      <c r="AX74" t="s">
        <v>116</v>
      </c>
    </row>
    <row r="75" spans="13:50" x14ac:dyDescent="0.25">
      <c r="M75">
        <v>69</v>
      </c>
      <c r="N75">
        <v>0.1</v>
      </c>
      <c r="O75">
        <v>100</v>
      </c>
      <c r="P75">
        <v>-0.2</v>
      </c>
      <c r="Q75">
        <v>0.3</v>
      </c>
      <c r="R75">
        <v>90</v>
      </c>
      <c r="S75" t="s">
        <v>111</v>
      </c>
      <c r="T75" t="s">
        <v>109</v>
      </c>
      <c r="U75">
        <f t="shared" si="4"/>
        <v>99.875073513530879</v>
      </c>
      <c r="W75">
        <v>69</v>
      </c>
      <c r="X75">
        <v>0.1</v>
      </c>
      <c r="Y75">
        <v>100</v>
      </c>
      <c r="Z75">
        <v>-0.2</v>
      </c>
      <c r="AA75">
        <v>0.3</v>
      </c>
      <c r="AB75">
        <v>90</v>
      </c>
      <c r="AC75" t="s">
        <v>114</v>
      </c>
      <c r="AD75" t="s">
        <v>109</v>
      </c>
      <c r="AE75">
        <f t="shared" si="5"/>
        <v>5.7696092700538495</v>
      </c>
      <c r="AG75">
        <v>69</v>
      </c>
      <c r="AH75">
        <v>0.1</v>
      </c>
      <c r="AI75">
        <v>100</v>
      </c>
      <c r="AJ75">
        <v>-0.2</v>
      </c>
      <c r="AK75">
        <v>0.3</v>
      </c>
      <c r="AL75">
        <v>90</v>
      </c>
      <c r="AM75" t="s">
        <v>111</v>
      </c>
      <c r="AN75" t="s">
        <v>116</v>
      </c>
      <c r="AO75">
        <f t="shared" si="6"/>
        <v>99.875073513530879</v>
      </c>
      <c r="AQ75">
        <v>69</v>
      </c>
      <c r="AR75">
        <v>0.1</v>
      </c>
      <c r="AS75">
        <v>100</v>
      </c>
      <c r="AT75">
        <v>-0.2</v>
      </c>
      <c r="AU75">
        <v>0.3</v>
      </c>
      <c r="AV75">
        <v>90</v>
      </c>
      <c r="AW75" t="s">
        <v>114</v>
      </c>
      <c r="AX75" t="s">
        <v>116</v>
      </c>
    </row>
    <row r="76" spans="13:50" x14ac:dyDescent="0.25">
      <c r="M76">
        <v>70</v>
      </c>
      <c r="N76">
        <v>0.1</v>
      </c>
      <c r="O76">
        <v>100</v>
      </c>
      <c r="P76">
        <v>-0.2</v>
      </c>
      <c r="Q76">
        <v>0.3</v>
      </c>
      <c r="R76">
        <v>90</v>
      </c>
      <c r="S76" t="s">
        <v>111</v>
      </c>
      <c r="T76" t="s">
        <v>109</v>
      </c>
      <c r="U76">
        <f t="shared" si="4"/>
        <v>99.886384037261791</v>
      </c>
      <c r="W76">
        <v>70</v>
      </c>
      <c r="X76">
        <v>0.1</v>
      </c>
      <c r="Y76">
        <v>100</v>
      </c>
      <c r="Z76">
        <v>-0.2</v>
      </c>
      <c r="AA76">
        <v>0.3</v>
      </c>
      <c r="AB76">
        <v>90</v>
      </c>
      <c r="AC76" t="s">
        <v>114</v>
      </c>
      <c r="AD76" t="s">
        <v>109</v>
      </c>
      <c r="AE76">
        <f t="shared" si="5"/>
        <v>5.7696092700538495</v>
      </c>
      <c r="AG76">
        <v>70</v>
      </c>
      <c r="AH76">
        <v>0.1</v>
      </c>
      <c r="AI76">
        <v>100</v>
      </c>
      <c r="AJ76">
        <v>-0.2</v>
      </c>
      <c r="AK76">
        <v>0.3</v>
      </c>
      <c r="AL76">
        <v>90</v>
      </c>
      <c r="AM76" t="s">
        <v>111</v>
      </c>
      <c r="AN76" t="s">
        <v>116</v>
      </c>
      <c r="AO76">
        <f t="shared" si="6"/>
        <v>99.886384037261791</v>
      </c>
      <c r="AQ76">
        <v>70</v>
      </c>
      <c r="AR76">
        <v>0.1</v>
      </c>
      <c r="AS76">
        <v>100</v>
      </c>
      <c r="AT76">
        <v>-0.2</v>
      </c>
      <c r="AU76">
        <v>0.3</v>
      </c>
      <c r="AV76">
        <v>90</v>
      </c>
      <c r="AW76" t="s">
        <v>114</v>
      </c>
      <c r="AX76" t="s">
        <v>116</v>
      </c>
    </row>
    <row r="77" spans="13:50" x14ac:dyDescent="0.25">
      <c r="M77">
        <v>71</v>
      </c>
      <c r="N77">
        <v>0.1</v>
      </c>
      <c r="O77">
        <v>100</v>
      </c>
      <c r="P77">
        <v>-0.2</v>
      </c>
      <c r="Q77">
        <v>0.3</v>
      </c>
      <c r="R77">
        <v>90</v>
      </c>
      <c r="S77" t="s">
        <v>111</v>
      </c>
      <c r="T77" t="s">
        <v>109</v>
      </c>
      <c r="U77">
        <f t="shared" si="4"/>
        <v>99.896725314398239</v>
      </c>
      <c r="W77">
        <v>71</v>
      </c>
      <c r="X77">
        <v>0.1</v>
      </c>
      <c r="Y77">
        <v>100</v>
      </c>
      <c r="Z77">
        <v>-0.2</v>
      </c>
      <c r="AA77">
        <v>0.3</v>
      </c>
      <c r="AB77">
        <v>90</v>
      </c>
      <c r="AC77" t="s">
        <v>114</v>
      </c>
      <c r="AD77" t="s">
        <v>109</v>
      </c>
      <c r="AE77">
        <f t="shared" si="5"/>
        <v>5.7696113675630256</v>
      </c>
      <c r="AG77">
        <v>71</v>
      </c>
      <c r="AH77">
        <v>0.1</v>
      </c>
      <c r="AI77">
        <v>100</v>
      </c>
      <c r="AJ77">
        <v>-0.2</v>
      </c>
      <c r="AK77">
        <v>0.3</v>
      </c>
      <c r="AL77">
        <v>90</v>
      </c>
      <c r="AM77" t="s">
        <v>111</v>
      </c>
      <c r="AN77" t="s">
        <v>116</v>
      </c>
      <c r="AO77">
        <f t="shared" si="6"/>
        <v>99.896725314398239</v>
      </c>
      <c r="AQ77">
        <v>71</v>
      </c>
      <c r="AR77">
        <v>0.1</v>
      </c>
      <c r="AS77">
        <v>100</v>
      </c>
      <c r="AT77">
        <v>-0.2</v>
      </c>
      <c r="AU77">
        <v>0.3</v>
      </c>
      <c r="AV77">
        <v>90</v>
      </c>
      <c r="AW77" t="s">
        <v>114</v>
      </c>
      <c r="AX77" t="s">
        <v>116</v>
      </c>
    </row>
    <row r="78" spans="13:50" x14ac:dyDescent="0.25">
      <c r="M78">
        <v>72</v>
      </c>
      <c r="N78">
        <v>0.1</v>
      </c>
      <c r="O78">
        <v>100</v>
      </c>
      <c r="P78">
        <v>-0.2</v>
      </c>
      <c r="Q78">
        <v>0.3</v>
      </c>
      <c r="R78">
        <v>90</v>
      </c>
      <c r="S78" t="s">
        <v>111</v>
      </c>
      <c r="T78" t="s">
        <v>109</v>
      </c>
      <c r="U78">
        <f t="shared" si="4"/>
        <v>99.906084257276433</v>
      </c>
      <c r="W78">
        <v>72</v>
      </c>
      <c r="X78">
        <v>0.1</v>
      </c>
      <c r="Y78">
        <v>100</v>
      </c>
      <c r="Z78">
        <v>-0.2</v>
      </c>
      <c r="AA78">
        <v>0.3</v>
      </c>
      <c r="AB78">
        <v>90</v>
      </c>
      <c r="AC78" t="s">
        <v>114</v>
      </c>
      <c r="AD78" t="s">
        <v>109</v>
      </c>
      <c r="AE78">
        <f t="shared" si="5"/>
        <v>5.7696113675630256</v>
      </c>
      <c r="AG78">
        <v>72</v>
      </c>
      <c r="AH78">
        <v>0.1</v>
      </c>
      <c r="AI78">
        <v>100</v>
      </c>
      <c r="AJ78">
        <v>-0.2</v>
      </c>
      <c r="AK78">
        <v>0.3</v>
      </c>
      <c r="AL78">
        <v>90</v>
      </c>
      <c r="AM78" t="s">
        <v>111</v>
      </c>
      <c r="AN78" t="s">
        <v>116</v>
      </c>
      <c r="AO78">
        <f t="shared" si="6"/>
        <v>99.906084257276433</v>
      </c>
      <c r="AQ78">
        <v>72</v>
      </c>
      <c r="AR78">
        <v>0.1</v>
      </c>
      <c r="AS78">
        <v>100</v>
      </c>
      <c r="AT78">
        <v>-0.2</v>
      </c>
      <c r="AU78">
        <v>0.3</v>
      </c>
      <c r="AV78">
        <v>90</v>
      </c>
      <c r="AW78" t="s">
        <v>114</v>
      </c>
      <c r="AX78" t="s">
        <v>116</v>
      </c>
    </row>
    <row r="79" spans="13:50" x14ac:dyDescent="0.25">
      <c r="M79">
        <v>73</v>
      </c>
      <c r="N79">
        <v>0.1</v>
      </c>
      <c r="O79">
        <v>100</v>
      </c>
      <c r="P79">
        <v>-0.2</v>
      </c>
      <c r="Q79">
        <v>0.3</v>
      </c>
      <c r="R79">
        <v>90</v>
      </c>
      <c r="S79" t="s">
        <v>111</v>
      </c>
      <c r="T79" t="s">
        <v>109</v>
      </c>
      <c r="U79">
        <f t="shared" si="4"/>
        <v>99.914625305897601</v>
      </c>
      <c r="W79">
        <v>73</v>
      </c>
      <c r="X79">
        <v>0.1</v>
      </c>
      <c r="Y79">
        <v>100</v>
      </c>
      <c r="Z79">
        <v>-0.2</v>
      </c>
      <c r="AA79">
        <v>0.3</v>
      </c>
      <c r="AB79">
        <v>90</v>
      </c>
      <c r="AC79" t="s">
        <v>114</v>
      </c>
      <c r="AD79" t="s">
        <v>109</v>
      </c>
      <c r="AE79">
        <f t="shared" si="5"/>
        <v>5.7696127490137501</v>
      </c>
      <c r="AG79">
        <v>73</v>
      </c>
      <c r="AH79">
        <v>0.1</v>
      </c>
      <c r="AI79">
        <v>100</v>
      </c>
      <c r="AJ79">
        <v>-0.2</v>
      </c>
      <c r="AK79">
        <v>0.3</v>
      </c>
      <c r="AL79">
        <v>90</v>
      </c>
      <c r="AM79" t="s">
        <v>111</v>
      </c>
      <c r="AN79" t="s">
        <v>116</v>
      </c>
      <c r="AO79">
        <f t="shared" si="6"/>
        <v>99.914625305897601</v>
      </c>
      <c r="AQ79">
        <v>73</v>
      </c>
      <c r="AR79">
        <v>0.1</v>
      </c>
      <c r="AS79">
        <v>100</v>
      </c>
      <c r="AT79">
        <v>-0.2</v>
      </c>
      <c r="AU79">
        <v>0.3</v>
      </c>
      <c r="AV79">
        <v>90</v>
      </c>
      <c r="AW79" t="s">
        <v>114</v>
      </c>
      <c r="AX79" t="s">
        <v>116</v>
      </c>
    </row>
    <row r="80" spans="13:50" x14ac:dyDescent="0.25">
      <c r="M80">
        <v>74</v>
      </c>
      <c r="N80">
        <v>0.1</v>
      </c>
      <c r="O80">
        <v>100</v>
      </c>
      <c r="P80">
        <v>-0.2</v>
      </c>
      <c r="Q80">
        <v>0.3</v>
      </c>
      <c r="R80">
        <v>90</v>
      </c>
      <c r="S80" t="s">
        <v>111</v>
      </c>
      <c r="T80" t="s">
        <v>109</v>
      </c>
      <c r="U80">
        <f t="shared" si="4"/>
        <v>99.922368970574567</v>
      </c>
      <c r="W80">
        <v>74</v>
      </c>
      <c r="X80">
        <v>0.1</v>
      </c>
      <c r="Y80">
        <v>100</v>
      </c>
      <c r="Z80">
        <v>-0.2</v>
      </c>
      <c r="AA80">
        <v>0.3</v>
      </c>
      <c r="AB80">
        <v>90</v>
      </c>
      <c r="AC80" t="s">
        <v>114</v>
      </c>
      <c r="AD80" t="s">
        <v>109</v>
      </c>
      <c r="AE80">
        <f t="shared" si="5"/>
        <v>5.7696127490137501</v>
      </c>
      <c r="AG80">
        <v>74</v>
      </c>
      <c r="AH80">
        <v>0.1</v>
      </c>
      <c r="AI80">
        <v>100</v>
      </c>
      <c r="AJ80">
        <v>-0.2</v>
      </c>
      <c r="AK80">
        <v>0.3</v>
      </c>
      <c r="AL80">
        <v>90</v>
      </c>
      <c r="AM80" t="s">
        <v>111</v>
      </c>
      <c r="AN80" t="s">
        <v>116</v>
      </c>
      <c r="AO80">
        <f t="shared" si="6"/>
        <v>99.922368970574567</v>
      </c>
      <c r="AQ80">
        <v>74</v>
      </c>
      <c r="AR80">
        <v>0.1</v>
      </c>
      <c r="AS80">
        <v>100</v>
      </c>
      <c r="AT80">
        <v>-0.2</v>
      </c>
      <c r="AU80">
        <v>0.3</v>
      </c>
      <c r="AV80">
        <v>90</v>
      </c>
      <c r="AW80" t="s">
        <v>114</v>
      </c>
      <c r="AX80" t="s">
        <v>116</v>
      </c>
    </row>
    <row r="81" spans="13:50" x14ac:dyDescent="0.25">
      <c r="M81">
        <v>75</v>
      </c>
      <c r="N81">
        <v>0.1</v>
      </c>
      <c r="O81">
        <v>100</v>
      </c>
      <c r="P81">
        <v>-0.2</v>
      </c>
      <c r="Q81">
        <v>0.3</v>
      </c>
      <c r="R81">
        <v>90</v>
      </c>
      <c r="S81" t="s">
        <v>111</v>
      </c>
      <c r="T81" t="s">
        <v>109</v>
      </c>
      <c r="U81">
        <f t="shared" si="4"/>
        <v>99.929423463496235</v>
      </c>
      <c r="W81">
        <v>75</v>
      </c>
      <c r="X81">
        <v>0.1</v>
      </c>
      <c r="Y81">
        <v>100</v>
      </c>
      <c r="Z81">
        <v>-0.2</v>
      </c>
      <c r="AA81">
        <v>0.3</v>
      </c>
      <c r="AB81">
        <v>90</v>
      </c>
      <c r="AC81" t="s">
        <v>114</v>
      </c>
      <c r="AD81" t="s">
        <v>109</v>
      </c>
      <c r="AE81">
        <f t="shared" si="5"/>
        <v>5.7696135996944715</v>
      </c>
      <c r="AG81">
        <v>75</v>
      </c>
      <c r="AH81">
        <v>0.1</v>
      </c>
      <c r="AI81">
        <v>100</v>
      </c>
      <c r="AJ81">
        <v>-0.2</v>
      </c>
      <c r="AK81">
        <v>0.3</v>
      </c>
      <c r="AL81">
        <v>90</v>
      </c>
      <c r="AM81" t="s">
        <v>111</v>
      </c>
      <c r="AN81" t="s">
        <v>116</v>
      </c>
      <c r="AO81">
        <f t="shared" si="6"/>
        <v>99.929423463496235</v>
      </c>
      <c r="AQ81">
        <v>75</v>
      </c>
      <c r="AR81">
        <v>0.1</v>
      </c>
      <c r="AS81">
        <v>100</v>
      </c>
      <c r="AT81">
        <v>-0.2</v>
      </c>
      <c r="AU81">
        <v>0.3</v>
      </c>
      <c r="AV81">
        <v>90</v>
      </c>
      <c r="AW81" t="s">
        <v>114</v>
      </c>
      <c r="AX81" t="s">
        <v>116</v>
      </c>
    </row>
    <row r="82" spans="13:50" x14ac:dyDescent="0.25">
      <c r="M82">
        <v>76</v>
      </c>
      <c r="N82">
        <v>0.1</v>
      </c>
      <c r="O82">
        <v>100</v>
      </c>
      <c r="P82">
        <v>-0.2</v>
      </c>
      <c r="Q82">
        <v>0.3</v>
      </c>
      <c r="R82">
        <v>90</v>
      </c>
      <c r="S82" t="s">
        <v>111</v>
      </c>
      <c r="T82" t="s">
        <v>109</v>
      </c>
      <c r="U82">
        <f t="shared" si="4"/>
        <v>99.935830286335019</v>
      </c>
      <c r="W82">
        <v>76</v>
      </c>
      <c r="X82">
        <v>0.1</v>
      </c>
      <c r="Y82">
        <v>100</v>
      </c>
      <c r="Z82">
        <v>-0.2</v>
      </c>
      <c r="AA82">
        <v>0.3</v>
      </c>
      <c r="AB82">
        <v>90</v>
      </c>
      <c r="AC82" t="s">
        <v>114</v>
      </c>
      <c r="AD82" t="s">
        <v>109</v>
      </c>
      <c r="AE82">
        <f t="shared" si="5"/>
        <v>5.7696135996944715</v>
      </c>
      <c r="AG82">
        <v>76</v>
      </c>
      <c r="AH82">
        <v>0.1</v>
      </c>
      <c r="AI82">
        <v>100</v>
      </c>
      <c r="AJ82">
        <v>-0.2</v>
      </c>
      <c r="AK82">
        <v>0.3</v>
      </c>
      <c r="AL82">
        <v>90</v>
      </c>
      <c r="AM82" t="s">
        <v>111</v>
      </c>
      <c r="AN82" t="s">
        <v>116</v>
      </c>
      <c r="AO82">
        <f t="shared" si="6"/>
        <v>99.935830286335019</v>
      </c>
      <c r="AQ82">
        <v>76</v>
      </c>
      <c r="AR82">
        <v>0.1</v>
      </c>
      <c r="AS82">
        <v>100</v>
      </c>
      <c r="AT82">
        <v>-0.2</v>
      </c>
      <c r="AU82">
        <v>0.3</v>
      </c>
      <c r="AV82">
        <v>90</v>
      </c>
      <c r="AW82" t="s">
        <v>114</v>
      </c>
      <c r="AX82" t="s">
        <v>116</v>
      </c>
    </row>
    <row r="83" spans="13:50" x14ac:dyDescent="0.25">
      <c r="M83">
        <v>77</v>
      </c>
      <c r="N83">
        <v>0.1</v>
      </c>
      <c r="O83">
        <v>100</v>
      </c>
      <c r="P83">
        <v>-0.2</v>
      </c>
      <c r="Q83">
        <v>0.3</v>
      </c>
      <c r="R83">
        <v>90</v>
      </c>
      <c r="S83" t="s">
        <v>111</v>
      </c>
      <c r="T83" t="s">
        <v>109</v>
      </c>
      <c r="U83">
        <f t="shared" si="4"/>
        <v>99.941657178242636</v>
      </c>
      <c r="W83">
        <v>77</v>
      </c>
      <c r="X83">
        <v>0.1</v>
      </c>
      <c r="Y83">
        <v>100</v>
      </c>
      <c r="Z83">
        <v>-0.2</v>
      </c>
      <c r="AA83">
        <v>0.3</v>
      </c>
      <c r="AB83">
        <v>90</v>
      </c>
      <c r="AC83" t="s">
        <v>114</v>
      </c>
      <c r="AD83" t="s">
        <v>109</v>
      </c>
      <c r="AE83">
        <f t="shared" si="5"/>
        <v>5.769614116132245</v>
      </c>
      <c r="AG83">
        <v>77</v>
      </c>
      <c r="AH83">
        <v>0.1</v>
      </c>
      <c r="AI83">
        <v>100</v>
      </c>
      <c r="AJ83">
        <v>-0.2</v>
      </c>
      <c r="AK83">
        <v>0.3</v>
      </c>
      <c r="AL83">
        <v>90</v>
      </c>
      <c r="AM83" t="s">
        <v>111</v>
      </c>
      <c r="AN83" t="s">
        <v>116</v>
      </c>
      <c r="AO83">
        <f t="shared" si="6"/>
        <v>99.941657178242636</v>
      </c>
      <c r="AQ83">
        <v>77</v>
      </c>
      <c r="AR83">
        <v>0.1</v>
      </c>
      <c r="AS83">
        <v>100</v>
      </c>
      <c r="AT83">
        <v>-0.2</v>
      </c>
      <c r="AU83">
        <v>0.3</v>
      </c>
      <c r="AV83">
        <v>90</v>
      </c>
      <c r="AW83" t="s">
        <v>114</v>
      </c>
      <c r="AX83" t="s">
        <v>116</v>
      </c>
    </row>
    <row r="84" spans="13:50" x14ac:dyDescent="0.25">
      <c r="M84">
        <v>78</v>
      </c>
      <c r="N84">
        <v>0.1</v>
      </c>
      <c r="O84">
        <v>100</v>
      </c>
      <c r="P84">
        <v>-0.2</v>
      </c>
      <c r="Q84">
        <v>0.3</v>
      </c>
      <c r="R84">
        <v>90</v>
      </c>
      <c r="S84" t="s">
        <v>111</v>
      </c>
      <c r="T84" t="s">
        <v>109</v>
      </c>
      <c r="U84">
        <f t="shared" si="4"/>
        <v>99.946957669542854</v>
      </c>
      <c r="W84">
        <v>78</v>
      </c>
      <c r="X84">
        <v>0.1</v>
      </c>
      <c r="Y84">
        <v>100</v>
      </c>
      <c r="Z84">
        <v>-0.2</v>
      </c>
      <c r="AA84">
        <v>0.3</v>
      </c>
      <c r="AB84">
        <v>90</v>
      </c>
      <c r="AC84" t="s">
        <v>114</v>
      </c>
      <c r="AD84" t="s">
        <v>109</v>
      </c>
      <c r="AE84">
        <f t="shared" si="5"/>
        <v>5.7696142299930777</v>
      </c>
      <c r="AG84">
        <v>78</v>
      </c>
      <c r="AH84">
        <v>0.1</v>
      </c>
      <c r="AI84">
        <v>100</v>
      </c>
      <c r="AJ84">
        <v>-0.2</v>
      </c>
      <c r="AK84">
        <v>0.3</v>
      </c>
      <c r="AL84">
        <v>90</v>
      </c>
      <c r="AM84" t="s">
        <v>111</v>
      </c>
      <c r="AN84" t="s">
        <v>116</v>
      </c>
      <c r="AO84">
        <f t="shared" si="6"/>
        <v>99.946957669542854</v>
      </c>
      <c r="AQ84">
        <v>78</v>
      </c>
      <c r="AR84">
        <v>0.1</v>
      </c>
      <c r="AS84">
        <v>100</v>
      </c>
      <c r="AT84">
        <v>-0.2</v>
      </c>
      <c r="AU84">
        <v>0.3</v>
      </c>
      <c r="AV84">
        <v>90</v>
      </c>
      <c r="AW84" t="s">
        <v>114</v>
      </c>
      <c r="AX84" t="s">
        <v>116</v>
      </c>
    </row>
    <row r="85" spans="13:50" x14ac:dyDescent="0.25">
      <c r="M85">
        <v>79</v>
      </c>
      <c r="N85">
        <v>0.1</v>
      </c>
      <c r="O85">
        <v>100</v>
      </c>
      <c r="P85">
        <v>-0.2</v>
      </c>
      <c r="Q85">
        <v>0.3</v>
      </c>
      <c r="R85">
        <v>90</v>
      </c>
      <c r="S85" t="s">
        <v>111</v>
      </c>
      <c r="T85" t="s">
        <v>109</v>
      </c>
      <c r="U85">
        <f t="shared" si="4"/>
        <v>99.95177075633211</v>
      </c>
      <c r="W85">
        <v>79</v>
      </c>
      <c r="X85">
        <v>0.1</v>
      </c>
      <c r="Y85">
        <v>100</v>
      </c>
      <c r="Z85">
        <v>-0.2</v>
      </c>
      <c r="AA85">
        <v>0.3</v>
      </c>
      <c r="AB85">
        <v>90</v>
      </c>
      <c r="AC85" t="s">
        <v>114</v>
      </c>
      <c r="AD85" t="s">
        <v>109</v>
      </c>
      <c r="AE85">
        <f t="shared" si="5"/>
        <v>5.7696145066237419</v>
      </c>
      <c r="AG85">
        <v>79</v>
      </c>
      <c r="AH85">
        <v>0.1</v>
      </c>
      <c r="AI85">
        <v>100</v>
      </c>
      <c r="AJ85">
        <v>-0.2</v>
      </c>
      <c r="AK85">
        <v>0.3</v>
      </c>
      <c r="AL85">
        <v>90</v>
      </c>
      <c r="AM85" t="s">
        <v>111</v>
      </c>
      <c r="AN85" t="s">
        <v>116</v>
      </c>
      <c r="AO85">
        <f t="shared" si="6"/>
        <v>99.95177075633211</v>
      </c>
      <c r="AQ85">
        <v>79</v>
      </c>
      <c r="AR85">
        <v>0.1</v>
      </c>
      <c r="AS85">
        <v>100</v>
      </c>
      <c r="AT85">
        <v>-0.2</v>
      </c>
      <c r="AU85">
        <v>0.3</v>
      </c>
      <c r="AV85">
        <v>90</v>
      </c>
      <c r="AW85" t="s">
        <v>114</v>
      </c>
      <c r="AX85" t="s">
        <v>116</v>
      </c>
    </row>
    <row r="86" spans="13:50" x14ac:dyDescent="0.25">
      <c r="M86">
        <v>80</v>
      </c>
      <c r="N86">
        <v>0.1</v>
      </c>
      <c r="O86">
        <v>100</v>
      </c>
      <c r="P86">
        <v>-0.2</v>
      </c>
      <c r="Q86">
        <v>0.3</v>
      </c>
      <c r="R86">
        <v>90</v>
      </c>
      <c r="S86" t="s">
        <v>111</v>
      </c>
      <c r="T86" t="s">
        <v>109</v>
      </c>
      <c r="U86">
        <f t="shared" si="4"/>
        <v>99.956155736012562</v>
      </c>
      <c r="W86">
        <v>80</v>
      </c>
      <c r="X86">
        <v>0.1</v>
      </c>
      <c r="Y86">
        <v>100</v>
      </c>
      <c r="Z86">
        <v>-0.2</v>
      </c>
      <c r="AA86">
        <v>0.3</v>
      </c>
      <c r="AB86">
        <v>90</v>
      </c>
      <c r="AC86" t="s">
        <v>114</v>
      </c>
      <c r="AD86" t="s">
        <v>109</v>
      </c>
      <c r="AE86">
        <f t="shared" si="5"/>
        <v>5.769614770695477</v>
      </c>
      <c r="AG86">
        <v>80</v>
      </c>
      <c r="AH86">
        <v>0.1</v>
      </c>
      <c r="AI86">
        <v>100</v>
      </c>
      <c r="AJ86">
        <v>-0.2</v>
      </c>
      <c r="AK86">
        <v>0.3</v>
      </c>
      <c r="AL86">
        <v>90</v>
      </c>
      <c r="AM86" t="s">
        <v>111</v>
      </c>
      <c r="AN86" t="s">
        <v>116</v>
      </c>
      <c r="AO86">
        <f t="shared" si="6"/>
        <v>99.956155736012562</v>
      </c>
      <c r="AQ86">
        <v>80</v>
      </c>
      <c r="AR86">
        <v>0.1</v>
      </c>
      <c r="AS86">
        <v>100</v>
      </c>
      <c r="AT86">
        <v>-0.2</v>
      </c>
      <c r="AU86">
        <v>0.3</v>
      </c>
      <c r="AV86">
        <v>90</v>
      </c>
      <c r="AW86" t="s">
        <v>114</v>
      </c>
      <c r="AX86" t="s">
        <v>116</v>
      </c>
    </row>
    <row r="87" spans="13:50" x14ac:dyDescent="0.25">
      <c r="M87">
        <v>81</v>
      </c>
      <c r="N87">
        <v>0.1</v>
      </c>
      <c r="O87">
        <v>100</v>
      </c>
      <c r="P87">
        <v>-0.2</v>
      </c>
      <c r="Q87">
        <v>0.3</v>
      </c>
      <c r="R87">
        <v>90</v>
      </c>
      <c r="S87" t="s">
        <v>111</v>
      </c>
      <c r="T87" t="s">
        <v>109</v>
      </c>
      <c r="U87">
        <f t="shared" si="4"/>
        <v>99.960131540975141</v>
      </c>
      <c r="W87">
        <v>81</v>
      </c>
      <c r="X87">
        <v>0.1</v>
      </c>
      <c r="Y87">
        <v>100</v>
      </c>
      <c r="Z87">
        <v>-0.2</v>
      </c>
      <c r="AA87">
        <v>0.3</v>
      </c>
      <c r="AB87">
        <v>90</v>
      </c>
      <c r="AC87" t="s">
        <v>114</v>
      </c>
      <c r="AD87" t="s">
        <v>109</v>
      </c>
      <c r="AE87">
        <f t="shared" si="5"/>
        <v>5.7696147995205118</v>
      </c>
      <c r="AG87">
        <v>81</v>
      </c>
      <c r="AH87">
        <v>0.1</v>
      </c>
      <c r="AI87">
        <v>100</v>
      </c>
      <c r="AJ87">
        <v>-0.2</v>
      </c>
      <c r="AK87">
        <v>0.3</v>
      </c>
      <c r="AL87">
        <v>90</v>
      </c>
      <c r="AM87" t="s">
        <v>111</v>
      </c>
      <c r="AN87" t="s">
        <v>116</v>
      </c>
      <c r="AO87">
        <f t="shared" si="6"/>
        <v>99.960131540975141</v>
      </c>
      <c r="AQ87">
        <v>81</v>
      </c>
      <c r="AR87">
        <v>0.1</v>
      </c>
      <c r="AS87">
        <v>100</v>
      </c>
      <c r="AT87">
        <v>-0.2</v>
      </c>
      <c r="AU87">
        <v>0.3</v>
      </c>
      <c r="AV87">
        <v>90</v>
      </c>
      <c r="AW87" t="s">
        <v>114</v>
      </c>
      <c r="AX87" t="s">
        <v>116</v>
      </c>
    </row>
    <row r="88" spans="13:50" x14ac:dyDescent="0.25">
      <c r="M88">
        <v>82</v>
      </c>
      <c r="N88">
        <v>0.1</v>
      </c>
      <c r="O88">
        <v>100</v>
      </c>
      <c r="P88">
        <v>-0.2</v>
      </c>
      <c r="Q88">
        <v>0.3</v>
      </c>
      <c r="R88">
        <v>90</v>
      </c>
      <c r="S88" t="s">
        <v>111</v>
      </c>
      <c r="T88" t="s">
        <v>109</v>
      </c>
      <c r="U88">
        <f t="shared" si="4"/>
        <v>99.963758961543405</v>
      </c>
      <c r="W88">
        <v>82</v>
      </c>
      <c r="X88">
        <v>0.1</v>
      </c>
      <c r="Y88">
        <v>100</v>
      </c>
      <c r="Z88">
        <v>-0.2</v>
      </c>
      <c r="AA88">
        <v>0.3</v>
      </c>
      <c r="AB88">
        <v>90</v>
      </c>
      <c r="AC88" t="s">
        <v>114</v>
      </c>
      <c r="AD88" t="s">
        <v>109</v>
      </c>
      <c r="AE88">
        <f t="shared" si="5"/>
        <v>5.7696151635441026</v>
      </c>
      <c r="AG88">
        <v>82</v>
      </c>
      <c r="AH88">
        <v>0.1</v>
      </c>
      <c r="AI88">
        <v>100</v>
      </c>
      <c r="AJ88">
        <v>-0.2</v>
      </c>
      <c r="AK88">
        <v>0.3</v>
      </c>
      <c r="AL88">
        <v>90</v>
      </c>
      <c r="AM88" t="s">
        <v>111</v>
      </c>
      <c r="AN88" t="s">
        <v>116</v>
      </c>
      <c r="AO88">
        <f t="shared" si="6"/>
        <v>99.963758961543405</v>
      </c>
      <c r="AQ88">
        <v>82</v>
      </c>
      <c r="AR88">
        <v>0.1</v>
      </c>
      <c r="AS88">
        <v>100</v>
      </c>
      <c r="AT88">
        <v>-0.2</v>
      </c>
      <c r="AU88">
        <v>0.3</v>
      </c>
      <c r="AV88">
        <v>90</v>
      </c>
      <c r="AW88" t="s">
        <v>114</v>
      </c>
      <c r="AX88" t="s">
        <v>116</v>
      </c>
    </row>
    <row r="89" spans="13:50" x14ac:dyDescent="0.25">
      <c r="M89">
        <v>83</v>
      </c>
      <c r="N89">
        <v>0.1</v>
      </c>
      <c r="O89">
        <v>100</v>
      </c>
      <c r="P89">
        <v>-0.2</v>
      </c>
      <c r="Q89">
        <v>0.3</v>
      </c>
      <c r="R89">
        <v>90</v>
      </c>
      <c r="S89" t="s">
        <v>111</v>
      </c>
      <c r="T89" t="s">
        <v>109</v>
      </c>
      <c r="U89">
        <f t="shared" si="4"/>
        <v>99.967046525889941</v>
      </c>
      <c r="W89">
        <v>83</v>
      </c>
      <c r="X89">
        <v>0.1</v>
      </c>
      <c r="Y89">
        <v>100</v>
      </c>
      <c r="Z89">
        <v>-0.2</v>
      </c>
      <c r="AA89">
        <v>0.3</v>
      </c>
      <c r="AB89">
        <v>90</v>
      </c>
      <c r="AC89" t="s">
        <v>114</v>
      </c>
      <c r="AD89" t="s">
        <v>109</v>
      </c>
      <c r="AE89">
        <f t="shared" si="5"/>
        <v>5.7696151635441026</v>
      </c>
      <c r="AG89">
        <v>83</v>
      </c>
      <c r="AH89">
        <v>0.1</v>
      </c>
      <c r="AI89">
        <v>100</v>
      </c>
      <c r="AJ89">
        <v>-0.2</v>
      </c>
      <c r="AK89">
        <v>0.3</v>
      </c>
      <c r="AL89">
        <v>90</v>
      </c>
      <c r="AM89" t="s">
        <v>111</v>
      </c>
      <c r="AN89" t="s">
        <v>116</v>
      </c>
      <c r="AO89">
        <f t="shared" si="6"/>
        <v>99.967046525889941</v>
      </c>
      <c r="AQ89">
        <v>83</v>
      </c>
      <c r="AR89">
        <v>0.1</v>
      </c>
      <c r="AS89">
        <v>100</v>
      </c>
      <c r="AT89">
        <v>-0.2</v>
      </c>
      <c r="AU89">
        <v>0.3</v>
      </c>
      <c r="AV89">
        <v>90</v>
      </c>
      <c r="AW89" t="s">
        <v>114</v>
      </c>
      <c r="AX89" t="s">
        <v>116</v>
      </c>
    </row>
    <row r="90" spans="13:50" x14ac:dyDescent="0.25">
      <c r="M90">
        <v>84</v>
      </c>
      <c r="N90">
        <v>0.1</v>
      </c>
      <c r="O90">
        <v>100</v>
      </c>
      <c r="P90">
        <v>-0.2</v>
      </c>
      <c r="Q90">
        <v>0.3</v>
      </c>
      <c r="R90">
        <v>90</v>
      </c>
      <c r="S90" t="s">
        <v>111</v>
      </c>
      <c r="T90" t="s">
        <v>109</v>
      </c>
      <c r="U90">
        <f t="shared" si="4"/>
        <v>99.970043840654697</v>
      </c>
      <c r="W90">
        <v>84</v>
      </c>
      <c r="X90">
        <v>0.1</v>
      </c>
      <c r="Y90">
        <v>100</v>
      </c>
      <c r="Z90">
        <v>-0.2</v>
      </c>
      <c r="AA90">
        <v>0.3</v>
      </c>
      <c r="AB90">
        <v>90</v>
      </c>
      <c r="AC90" t="s">
        <v>114</v>
      </c>
      <c r="AD90" t="s">
        <v>109</v>
      </c>
      <c r="AE90">
        <f t="shared" si="5"/>
        <v>5.7696154415547154</v>
      </c>
      <c r="AG90">
        <v>84</v>
      </c>
      <c r="AH90">
        <v>0.1</v>
      </c>
      <c r="AI90">
        <v>100</v>
      </c>
      <c r="AJ90">
        <v>-0.2</v>
      </c>
      <c r="AK90">
        <v>0.3</v>
      </c>
      <c r="AL90">
        <v>90</v>
      </c>
      <c r="AM90" t="s">
        <v>111</v>
      </c>
      <c r="AN90" t="s">
        <v>116</v>
      </c>
      <c r="AO90">
        <f t="shared" si="6"/>
        <v>99.970043840654697</v>
      </c>
      <c r="AQ90">
        <v>84</v>
      </c>
      <c r="AR90">
        <v>0.1</v>
      </c>
      <c r="AS90">
        <v>100</v>
      </c>
      <c r="AT90">
        <v>-0.2</v>
      </c>
      <c r="AU90">
        <v>0.3</v>
      </c>
      <c r="AV90">
        <v>90</v>
      </c>
      <c r="AW90" t="s">
        <v>114</v>
      </c>
      <c r="AX90" t="s">
        <v>116</v>
      </c>
    </row>
    <row r="91" spans="13:50" x14ac:dyDescent="0.25">
      <c r="M91">
        <v>85</v>
      </c>
      <c r="N91">
        <v>0.1</v>
      </c>
      <c r="O91">
        <v>100</v>
      </c>
      <c r="P91">
        <v>-0.2</v>
      </c>
      <c r="Q91">
        <v>0.3</v>
      </c>
      <c r="R91">
        <v>90</v>
      </c>
      <c r="S91" t="s">
        <v>111</v>
      </c>
      <c r="T91" t="s">
        <v>109</v>
      </c>
      <c r="U91">
        <f t="shared" si="4"/>
        <v>99.972762674155177</v>
      </c>
      <c r="W91">
        <v>85</v>
      </c>
      <c r="X91">
        <v>0.1</v>
      </c>
      <c r="Y91">
        <v>100</v>
      </c>
      <c r="Z91">
        <v>-0.2</v>
      </c>
      <c r="AA91">
        <v>0.3</v>
      </c>
      <c r="AB91">
        <v>90</v>
      </c>
      <c r="AC91" t="s">
        <v>114</v>
      </c>
      <c r="AD91" t="s">
        <v>109</v>
      </c>
      <c r="AE91">
        <f t="shared" si="5"/>
        <v>5.7696154415547154</v>
      </c>
      <c r="AG91">
        <v>85</v>
      </c>
      <c r="AH91">
        <v>0.1</v>
      </c>
      <c r="AI91">
        <v>100</v>
      </c>
      <c r="AJ91">
        <v>-0.2</v>
      </c>
      <c r="AK91">
        <v>0.3</v>
      </c>
      <c r="AL91">
        <v>90</v>
      </c>
      <c r="AM91" t="s">
        <v>111</v>
      </c>
      <c r="AN91" t="s">
        <v>116</v>
      </c>
      <c r="AO91">
        <f t="shared" si="6"/>
        <v>99.972762674155177</v>
      </c>
      <c r="AQ91">
        <v>85</v>
      </c>
      <c r="AR91">
        <v>0.1</v>
      </c>
      <c r="AS91">
        <v>100</v>
      </c>
      <c r="AT91">
        <v>-0.2</v>
      </c>
      <c r="AU91">
        <v>0.3</v>
      </c>
      <c r="AV91">
        <v>90</v>
      </c>
      <c r="AW91" t="s">
        <v>114</v>
      </c>
      <c r="AX91" t="s">
        <v>116</v>
      </c>
    </row>
    <row r="92" spans="13:50" x14ac:dyDescent="0.25">
      <c r="M92">
        <v>86</v>
      </c>
      <c r="N92">
        <v>0.1</v>
      </c>
      <c r="O92">
        <v>100</v>
      </c>
      <c r="P92">
        <v>-0.2</v>
      </c>
      <c r="Q92">
        <v>0.3</v>
      </c>
      <c r="R92">
        <v>90</v>
      </c>
      <c r="S92" t="s">
        <v>111</v>
      </c>
      <c r="T92" t="s">
        <v>109</v>
      </c>
      <c r="U92">
        <f t="shared" si="4"/>
        <v>99.975238937327148</v>
      </c>
      <c r="W92">
        <v>86</v>
      </c>
      <c r="X92">
        <v>0.1</v>
      </c>
      <c r="Y92">
        <v>100</v>
      </c>
      <c r="Z92">
        <v>-0.2</v>
      </c>
      <c r="AA92">
        <v>0.3</v>
      </c>
      <c r="AB92">
        <v>90</v>
      </c>
      <c r="AC92" t="s">
        <v>114</v>
      </c>
      <c r="AD92" t="s">
        <v>109</v>
      </c>
      <c r="AE92">
        <f t="shared" si="5"/>
        <v>5.7696156219510382</v>
      </c>
      <c r="AG92">
        <v>86</v>
      </c>
      <c r="AH92">
        <v>0.1</v>
      </c>
      <c r="AI92">
        <v>100</v>
      </c>
      <c r="AJ92">
        <v>-0.2</v>
      </c>
      <c r="AK92">
        <v>0.3</v>
      </c>
      <c r="AL92">
        <v>90</v>
      </c>
      <c r="AM92" t="s">
        <v>111</v>
      </c>
      <c r="AN92" t="s">
        <v>116</v>
      </c>
      <c r="AO92">
        <f t="shared" si="6"/>
        <v>99.975238937327148</v>
      </c>
      <c r="AQ92">
        <v>86</v>
      </c>
      <c r="AR92">
        <v>0.1</v>
      </c>
      <c r="AS92">
        <v>100</v>
      </c>
      <c r="AT92">
        <v>-0.2</v>
      </c>
      <c r="AU92">
        <v>0.3</v>
      </c>
      <c r="AV92">
        <v>90</v>
      </c>
      <c r="AW92" t="s">
        <v>114</v>
      </c>
      <c r="AX92" t="s">
        <v>116</v>
      </c>
    </row>
    <row r="93" spans="13:50" x14ac:dyDescent="0.25">
      <c r="M93">
        <v>87</v>
      </c>
      <c r="N93">
        <v>0.1</v>
      </c>
      <c r="O93">
        <v>100</v>
      </c>
      <c r="P93">
        <v>-0.2</v>
      </c>
      <c r="Q93">
        <v>0.3</v>
      </c>
      <c r="R93">
        <v>90</v>
      </c>
      <c r="S93" t="s">
        <v>111</v>
      </c>
      <c r="T93" t="s">
        <v>109</v>
      </c>
      <c r="U93">
        <f t="shared" si="4"/>
        <v>99.977487361049512</v>
      </c>
      <c r="W93">
        <v>87</v>
      </c>
      <c r="X93">
        <v>0.1</v>
      </c>
      <c r="Y93">
        <v>100</v>
      </c>
      <c r="Z93">
        <v>-0.2</v>
      </c>
      <c r="AA93">
        <v>0.3</v>
      </c>
      <c r="AB93">
        <v>90</v>
      </c>
      <c r="AC93" t="s">
        <v>114</v>
      </c>
      <c r="AD93" t="s">
        <v>109</v>
      </c>
      <c r="AE93">
        <f t="shared" si="5"/>
        <v>5.7696156219510382</v>
      </c>
      <c r="AG93">
        <v>87</v>
      </c>
      <c r="AH93">
        <v>0.1</v>
      </c>
      <c r="AI93">
        <v>100</v>
      </c>
      <c r="AJ93">
        <v>-0.2</v>
      </c>
      <c r="AK93">
        <v>0.3</v>
      </c>
      <c r="AL93">
        <v>90</v>
      </c>
      <c r="AM93" t="s">
        <v>111</v>
      </c>
      <c r="AN93" t="s">
        <v>116</v>
      </c>
      <c r="AO93">
        <f t="shared" si="6"/>
        <v>99.977487361049512</v>
      </c>
      <c r="AQ93">
        <v>87</v>
      </c>
      <c r="AR93">
        <v>0.1</v>
      </c>
      <c r="AS93">
        <v>100</v>
      </c>
      <c r="AT93">
        <v>-0.2</v>
      </c>
      <c r="AU93">
        <v>0.3</v>
      </c>
      <c r="AV93">
        <v>90</v>
      </c>
      <c r="AW93" t="s">
        <v>114</v>
      </c>
      <c r="AX93" t="s">
        <v>116</v>
      </c>
    </row>
    <row r="94" spans="13:50" x14ac:dyDescent="0.25">
      <c r="M94">
        <v>88</v>
      </c>
      <c r="N94">
        <v>0.1</v>
      </c>
      <c r="O94">
        <v>100</v>
      </c>
      <c r="P94">
        <v>-0.2</v>
      </c>
      <c r="Q94">
        <v>0.3</v>
      </c>
      <c r="R94">
        <v>90</v>
      </c>
      <c r="S94" t="s">
        <v>111</v>
      </c>
      <c r="T94" t="s">
        <v>109</v>
      </c>
      <c r="U94">
        <f t="shared" si="4"/>
        <v>99.979533193357824</v>
      </c>
      <c r="W94">
        <v>88</v>
      </c>
      <c r="X94">
        <v>0.1</v>
      </c>
      <c r="Y94">
        <v>100</v>
      </c>
      <c r="Z94">
        <v>-0.2</v>
      </c>
      <c r="AA94">
        <v>0.3</v>
      </c>
      <c r="AB94">
        <v>90</v>
      </c>
      <c r="AC94" t="s">
        <v>114</v>
      </c>
      <c r="AD94" t="s">
        <v>109</v>
      </c>
      <c r="AE94">
        <f t="shared" si="5"/>
        <v>5.769615730452788</v>
      </c>
      <c r="AG94">
        <v>88</v>
      </c>
      <c r="AH94">
        <v>0.1</v>
      </c>
      <c r="AI94">
        <v>100</v>
      </c>
      <c r="AJ94">
        <v>-0.2</v>
      </c>
      <c r="AK94">
        <v>0.3</v>
      </c>
      <c r="AL94">
        <v>90</v>
      </c>
      <c r="AM94" t="s">
        <v>111</v>
      </c>
      <c r="AN94" t="s">
        <v>116</v>
      </c>
      <c r="AO94">
        <f t="shared" si="6"/>
        <v>99.979533193357824</v>
      </c>
      <c r="AQ94">
        <v>88</v>
      </c>
      <c r="AR94">
        <v>0.1</v>
      </c>
      <c r="AS94">
        <v>100</v>
      </c>
      <c r="AT94">
        <v>-0.2</v>
      </c>
      <c r="AU94">
        <v>0.3</v>
      </c>
      <c r="AV94">
        <v>90</v>
      </c>
      <c r="AW94" t="s">
        <v>114</v>
      </c>
      <c r="AX94" t="s">
        <v>116</v>
      </c>
    </row>
    <row r="95" spans="13:50" x14ac:dyDescent="0.25">
      <c r="M95">
        <v>89</v>
      </c>
      <c r="N95">
        <v>0.1</v>
      </c>
      <c r="O95">
        <v>100</v>
      </c>
      <c r="P95">
        <v>-0.2</v>
      </c>
      <c r="Q95">
        <v>0.3</v>
      </c>
      <c r="R95">
        <v>90</v>
      </c>
      <c r="S95" t="s">
        <v>111</v>
      </c>
      <c r="T95" t="s">
        <v>109</v>
      </c>
      <c r="U95">
        <f t="shared" si="4"/>
        <v>99.981392543961348</v>
      </c>
      <c r="W95">
        <v>89</v>
      </c>
      <c r="X95">
        <v>0.1</v>
      </c>
      <c r="Y95">
        <v>100</v>
      </c>
      <c r="Z95">
        <v>-0.2</v>
      </c>
      <c r="AA95">
        <v>0.3</v>
      </c>
      <c r="AB95">
        <v>90</v>
      </c>
      <c r="AC95" t="s">
        <v>114</v>
      </c>
      <c r="AD95" t="s">
        <v>109</v>
      </c>
      <c r="AE95">
        <f t="shared" si="5"/>
        <v>5.769615730452788</v>
      </c>
      <c r="AG95">
        <v>89</v>
      </c>
      <c r="AH95">
        <v>0.1</v>
      </c>
      <c r="AI95">
        <v>100</v>
      </c>
      <c r="AJ95">
        <v>-0.2</v>
      </c>
      <c r="AK95">
        <v>0.3</v>
      </c>
      <c r="AL95">
        <v>90</v>
      </c>
      <c r="AM95" t="s">
        <v>111</v>
      </c>
      <c r="AN95" t="s">
        <v>116</v>
      </c>
      <c r="AO95">
        <f t="shared" si="6"/>
        <v>99.981392543961348</v>
      </c>
      <c r="AQ95">
        <v>89</v>
      </c>
      <c r="AR95">
        <v>0.1</v>
      </c>
      <c r="AS95">
        <v>100</v>
      </c>
      <c r="AT95">
        <v>-0.2</v>
      </c>
      <c r="AU95">
        <v>0.3</v>
      </c>
      <c r="AV95">
        <v>90</v>
      </c>
      <c r="AW95" t="s">
        <v>114</v>
      </c>
      <c r="AX95" t="s">
        <v>116</v>
      </c>
    </row>
    <row r="96" spans="13:50" x14ac:dyDescent="0.25">
      <c r="M96">
        <v>90</v>
      </c>
      <c r="N96">
        <v>0.1</v>
      </c>
      <c r="O96">
        <v>100</v>
      </c>
      <c r="P96">
        <v>-0.2</v>
      </c>
      <c r="Q96">
        <v>0.3</v>
      </c>
      <c r="R96">
        <v>90</v>
      </c>
      <c r="S96" t="s">
        <v>111</v>
      </c>
      <c r="T96" t="s">
        <v>109</v>
      </c>
      <c r="U96">
        <f t="shared" si="4"/>
        <v>99.983082796472885</v>
      </c>
      <c r="W96">
        <v>90</v>
      </c>
      <c r="X96">
        <v>0.1</v>
      </c>
      <c r="Y96">
        <v>100</v>
      </c>
      <c r="Z96">
        <v>-0.2</v>
      </c>
      <c r="AA96">
        <v>0.3</v>
      </c>
      <c r="AB96">
        <v>90</v>
      </c>
      <c r="AC96" t="s">
        <v>114</v>
      </c>
      <c r="AD96" t="s">
        <v>109</v>
      </c>
      <c r="AE96">
        <f t="shared" si="5"/>
        <v>5.7696157997249253</v>
      </c>
      <c r="AG96">
        <v>90</v>
      </c>
      <c r="AH96">
        <v>0.1</v>
      </c>
      <c r="AI96">
        <v>100</v>
      </c>
      <c r="AJ96">
        <v>-0.2</v>
      </c>
      <c r="AK96">
        <v>0.3</v>
      </c>
      <c r="AL96">
        <v>90</v>
      </c>
      <c r="AM96" t="s">
        <v>111</v>
      </c>
      <c r="AN96" t="s">
        <v>116</v>
      </c>
      <c r="AO96">
        <f t="shared" si="6"/>
        <v>99.983082796472885</v>
      </c>
      <c r="AQ96">
        <v>90</v>
      </c>
      <c r="AR96">
        <v>0.1</v>
      </c>
      <c r="AS96">
        <v>100</v>
      </c>
      <c r="AT96">
        <v>-0.2</v>
      </c>
      <c r="AU96">
        <v>0.3</v>
      </c>
      <c r="AV96">
        <v>90</v>
      </c>
      <c r="AW96" t="s">
        <v>114</v>
      </c>
      <c r="AX96" t="s">
        <v>116</v>
      </c>
    </row>
    <row r="97" spans="13:50" x14ac:dyDescent="0.25">
      <c r="M97">
        <v>91</v>
      </c>
      <c r="N97">
        <v>0.1</v>
      </c>
      <c r="O97">
        <v>100</v>
      </c>
      <c r="P97">
        <v>-0.2</v>
      </c>
      <c r="Q97">
        <v>0.3</v>
      </c>
      <c r="R97">
        <v>90</v>
      </c>
      <c r="S97" t="s">
        <v>111</v>
      </c>
      <c r="T97" t="s">
        <v>109</v>
      </c>
      <c r="U97">
        <f t="shared" si="4"/>
        <v>99.984620357636743</v>
      </c>
      <c r="W97">
        <v>91</v>
      </c>
      <c r="X97">
        <v>0.1</v>
      </c>
      <c r="Y97">
        <v>100</v>
      </c>
      <c r="Z97">
        <v>-0.2</v>
      </c>
      <c r="AA97">
        <v>0.3</v>
      </c>
      <c r="AB97">
        <v>90</v>
      </c>
      <c r="AC97" t="s">
        <v>114</v>
      </c>
      <c r="AD97" t="s">
        <v>109</v>
      </c>
      <c r="AE97">
        <f t="shared" si="5"/>
        <v>5.7696158261163379</v>
      </c>
      <c r="AG97">
        <v>91</v>
      </c>
      <c r="AH97">
        <v>0.1</v>
      </c>
      <c r="AI97">
        <v>100</v>
      </c>
      <c r="AJ97">
        <v>-0.2</v>
      </c>
      <c r="AK97">
        <v>0.3</v>
      </c>
      <c r="AL97">
        <v>90</v>
      </c>
      <c r="AM97" t="s">
        <v>111</v>
      </c>
      <c r="AN97" t="s">
        <v>116</v>
      </c>
      <c r="AO97">
        <f t="shared" si="6"/>
        <v>99.984620357636743</v>
      </c>
      <c r="AQ97">
        <v>91</v>
      </c>
      <c r="AR97">
        <v>0.1</v>
      </c>
      <c r="AS97">
        <v>100</v>
      </c>
      <c r="AT97">
        <v>-0.2</v>
      </c>
      <c r="AU97">
        <v>0.3</v>
      </c>
      <c r="AV97">
        <v>90</v>
      </c>
      <c r="AW97" t="s">
        <v>114</v>
      </c>
      <c r="AX97" t="s">
        <v>116</v>
      </c>
    </row>
    <row r="98" spans="13:50" x14ac:dyDescent="0.25">
      <c r="M98">
        <v>92</v>
      </c>
      <c r="N98">
        <v>0.1</v>
      </c>
      <c r="O98">
        <v>100</v>
      </c>
      <c r="P98">
        <v>-0.2</v>
      </c>
      <c r="Q98">
        <v>0.3</v>
      </c>
      <c r="R98">
        <v>90</v>
      </c>
      <c r="S98" t="s">
        <v>111</v>
      </c>
      <c r="T98" t="s">
        <v>109</v>
      </c>
      <c r="U98">
        <f t="shared" si="4"/>
        <v>99.986016857915985</v>
      </c>
      <c r="W98">
        <v>92</v>
      </c>
      <c r="X98">
        <v>0.1</v>
      </c>
      <c r="Y98">
        <v>100</v>
      </c>
      <c r="Z98">
        <v>-0.2</v>
      </c>
      <c r="AA98">
        <v>0.3</v>
      </c>
      <c r="AB98">
        <v>90</v>
      </c>
      <c r="AC98" t="s">
        <v>114</v>
      </c>
      <c r="AD98" t="s">
        <v>109</v>
      </c>
      <c r="AE98">
        <f t="shared" si="5"/>
        <v>5.7696158564003142</v>
      </c>
      <c r="AG98">
        <v>92</v>
      </c>
      <c r="AH98">
        <v>0.1</v>
      </c>
      <c r="AI98">
        <v>100</v>
      </c>
      <c r="AJ98">
        <v>-0.2</v>
      </c>
      <c r="AK98">
        <v>0.3</v>
      </c>
      <c r="AL98">
        <v>90</v>
      </c>
      <c r="AM98" t="s">
        <v>111</v>
      </c>
      <c r="AN98" t="s">
        <v>116</v>
      </c>
      <c r="AO98">
        <f t="shared" si="6"/>
        <v>99.986016857915985</v>
      </c>
      <c r="AQ98">
        <v>92</v>
      </c>
      <c r="AR98">
        <v>0.1</v>
      </c>
      <c r="AS98">
        <v>100</v>
      </c>
      <c r="AT98">
        <v>-0.2</v>
      </c>
      <c r="AU98">
        <v>0.3</v>
      </c>
      <c r="AV98">
        <v>90</v>
      </c>
      <c r="AW98" t="s">
        <v>114</v>
      </c>
      <c r="AX98" t="s">
        <v>116</v>
      </c>
    </row>
    <row r="99" spans="13:50" x14ac:dyDescent="0.25">
      <c r="M99">
        <v>93</v>
      </c>
      <c r="N99">
        <v>0.1</v>
      </c>
      <c r="O99">
        <v>100</v>
      </c>
      <c r="P99">
        <v>-0.2</v>
      </c>
      <c r="Q99">
        <v>0.3</v>
      </c>
      <c r="R99">
        <v>90</v>
      </c>
      <c r="S99" t="s">
        <v>111</v>
      </c>
      <c r="T99" t="s">
        <v>109</v>
      </c>
      <c r="U99">
        <f t="shared" si="4"/>
        <v>99.987288286282137</v>
      </c>
      <c r="W99">
        <v>93</v>
      </c>
      <c r="X99">
        <v>0.1</v>
      </c>
      <c r="Y99">
        <v>100</v>
      </c>
      <c r="Z99">
        <v>-0.2</v>
      </c>
      <c r="AA99">
        <v>0.3</v>
      </c>
      <c r="AB99">
        <v>90</v>
      </c>
      <c r="AC99" t="s">
        <v>114</v>
      </c>
      <c r="AD99" t="s">
        <v>109</v>
      </c>
      <c r="AE99">
        <f t="shared" si="5"/>
        <v>5.7696159037643744</v>
      </c>
      <c r="AG99">
        <v>93</v>
      </c>
      <c r="AH99">
        <v>0.1</v>
      </c>
      <c r="AI99">
        <v>100</v>
      </c>
      <c r="AJ99">
        <v>-0.2</v>
      </c>
      <c r="AK99">
        <v>0.3</v>
      </c>
      <c r="AL99">
        <v>90</v>
      </c>
      <c r="AM99" t="s">
        <v>111</v>
      </c>
      <c r="AN99" t="s">
        <v>116</v>
      </c>
      <c r="AO99">
        <f t="shared" si="6"/>
        <v>99.987288286282137</v>
      </c>
      <c r="AQ99">
        <v>93</v>
      </c>
      <c r="AR99">
        <v>0.1</v>
      </c>
      <c r="AS99">
        <v>100</v>
      </c>
      <c r="AT99">
        <v>-0.2</v>
      </c>
      <c r="AU99">
        <v>0.3</v>
      </c>
      <c r="AV99">
        <v>90</v>
      </c>
      <c r="AW99" t="s">
        <v>114</v>
      </c>
      <c r="AX99" t="s">
        <v>116</v>
      </c>
    </row>
    <row r="100" spans="13:50" x14ac:dyDescent="0.25">
      <c r="M100">
        <v>94</v>
      </c>
      <c r="N100">
        <v>0.1</v>
      </c>
      <c r="O100">
        <v>100</v>
      </c>
      <c r="P100">
        <v>-0.2</v>
      </c>
      <c r="Q100">
        <v>0.3</v>
      </c>
      <c r="R100">
        <v>90</v>
      </c>
      <c r="S100" t="s">
        <v>111</v>
      </c>
      <c r="T100" t="s">
        <v>109</v>
      </c>
      <c r="U100">
        <f t="shared" si="4"/>
        <v>99.988442238095743</v>
      </c>
      <c r="W100">
        <v>94</v>
      </c>
      <c r="X100">
        <v>0.1</v>
      </c>
      <c r="Y100">
        <v>100</v>
      </c>
      <c r="Z100">
        <v>-0.2</v>
      </c>
      <c r="AA100">
        <v>0.3</v>
      </c>
      <c r="AB100">
        <v>90</v>
      </c>
      <c r="AC100" t="s">
        <v>114</v>
      </c>
      <c r="AD100" t="s">
        <v>109</v>
      </c>
      <c r="AE100">
        <f t="shared" si="5"/>
        <v>5.7696159037643744</v>
      </c>
      <c r="AG100">
        <v>94</v>
      </c>
      <c r="AH100">
        <v>0.1</v>
      </c>
      <c r="AI100">
        <v>100</v>
      </c>
      <c r="AJ100">
        <v>-0.2</v>
      </c>
      <c r="AK100">
        <v>0.3</v>
      </c>
      <c r="AL100">
        <v>90</v>
      </c>
      <c r="AM100" t="s">
        <v>111</v>
      </c>
      <c r="AN100" t="s">
        <v>116</v>
      </c>
      <c r="AO100">
        <f t="shared" si="6"/>
        <v>99.988442238095743</v>
      </c>
      <c r="AQ100">
        <v>94</v>
      </c>
      <c r="AR100">
        <v>0.1</v>
      </c>
      <c r="AS100">
        <v>100</v>
      </c>
      <c r="AT100">
        <v>-0.2</v>
      </c>
      <c r="AU100">
        <v>0.3</v>
      </c>
      <c r="AV100">
        <v>90</v>
      </c>
      <c r="AW100" t="s">
        <v>114</v>
      </c>
      <c r="AX100" t="s">
        <v>116</v>
      </c>
    </row>
    <row r="101" spans="13:50" x14ac:dyDescent="0.25">
      <c r="M101">
        <v>95</v>
      </c>
      <c r="N101">
        <v>0.1</v>
      </c>
      <c r="O101">
        <v>100</v>
      </c>
      <c r="P101">
        <v>-0.2</v>
      </c>
      <c r="Q101">
        <v>0.3</v>
      </c>
      <c r="R101">
        <v>90</v>
      </c>
      <c r="S101" t="s">
        <v>111</v>
      </c>
      <c r="T101" t="s">
        <v>109</v>
      </c>
      <c r="U101">
        <f t="shared" si="4"/>
        <v>99.989493438625288</v>
      </c>
      <c r="W101">
        <v>95</v>
      </c>
      <c r="X101">
        <v>0.1</v>
      </c>
      <c r="Y101">
        <v>100</v>
      </c>
      <c r="Z101">
        <v>-0.2</v>
      </c>
      <c r="AA101">
        <v>0.3</v>
      </c>
      <c r="AB101">
        <v>90</v>
      </c>
      <c r="AC101" t="s">
        <v>114</v>
      </c>
      <c r="AD101" t="s">
        <v>109</v>
      </c>
      <c r="AE101">
        <f t="shared" si="5"/>
        <v>5.7696159588232563</v>
      </c>
      <c r="AG101">
        <v>95</v>
      </c>
      <c r="AH101">
        <v>0.1</v>
      </c>
      <c r="AI101">
        <v>100</v>
      </c>
      <c r="AJ101">
        <v>-0.2</v>
      </c>
      <c r="AK101">
        <v>0.3</v>
      </c>
      <c r="AL101">
        <v>90</v>
      </c>
      <c r="AM101" t="s">
        <v>111</v>
      </c>
      <c r="AN101" t="s">
        <v>116</v>
      </c>
      <c r="AO101">
        <f t="shared" si="6"/>
        <v>99.989493438625288</v>
      </c>
      <c r="AQ101">
        <v>95</v>
      </c>
      <c r="AR101">
        <v>0.1</v>
      </c>
      <c r="AS101">
        <v>100</v>
      </c>
      <c r="AT101">
        <v>-0.2</v>
      </c>
      <c r="AU101">
        <v>0.3</v>
      </c>
      <c r="AV101">
        <v>90</v>
      </c>
      <c r="AW101" t="s">
        <v>114</v>
      </c>
      <c r="AX101" t="s">
        <v>116</v>
      </c>
    </row>
    <row r="102" spans="13:50" x14ac:dyDescent="0.25">
      <c r="M102">
        <v>96</v>
      </c>
      <c r="N102">
        <v>0.1</v>
      </c>
      <c r="O102">
        <v>100</v>
      </c>
      <c r="P102">
        <v>-0.2</v>
      </c>
      <c r="Q102">
        <v>0.3</v>
      </c>
      <c r="R102">
        <v>90</v>
      </c>
      <c r="S102" t="s">
        <v>111</v>
      </c>
      <c r="T102" t="s">
        <v>109</v>
      </c>
      <c r="U102">
        <f t="shared" si="4"/>
        <v>99.990447495862597</v>
      </c>
      <c r="W102">
        <v>96</v>
      </c>
      <c r="X102">
        <v>0.1</v>
      </c>
      <c r="Y102">
        <v>100</v>
      </c>
      <c r="Z102">
        <v>-0.2</v>
      </c>
      <c r="AA102">
        <v>0.3</v>
      </c>
      <c r="AB102">
        <v>90</v>
      </c>
      <c r="AC102" t="s">
        <v>114</v>
      </c>
      <c r="AD102" t="s">
        <v>109</v>
      </c>
      <c r="AE102">
        <f t="shared" si="5"/>
        <v>5.7696159588232563</v>
      </c>
      <c r="AG102">
        <v>96</v>
      </c>
      <c r="AH102">
        <v>0.1</v>
      </c>
      <c r="AI102">
        <v>100</v>
      </c>
      <c r="AJ102">
        <v>-0.2</v>
      </c>
      <c r="AK102">
        <v>0.3</v>
      </c>
      <c r="AL102">
        <v>90</v>
      </c>
      <c r="AM102" t="s">
        <v>111</v>
      </c>
      <c r="AN102" t="s">
        <v>116</v>
      </c>
      <c r="AO102">
        <f t="shared" si="6"/>
        <v>99.990447495862597</v>
      </c>
      <c r="AQ102">
        <v>96</v>
      </c>
      <c r="AR102">
        <v>0.1</v>
      </c>
      <c r="AS102">
        <v>100</v>
      </c>
      <c r="AT102">
        <v>-0.2</v>
      </c>
      <c r="AU102">
        <v>0.3</v>
      </c>
      <c r="AV102">
        <v>90</v>
      </c>
      <c r="AW102" t="s">
        <v>114</v>
      </c>
      <c r="AX102" t="s">
        <v>116</v>
      </c>
    </row>
    <row r="103" spans="13:50" x14ac:dyDescent="0.25">
      <c r="M103">
        <v>97</v>
      </c>
      <c r="N103">
        <v>0.1</v>
      </c>
      <c r="O103">
        <v>100</v>
      </c>
      <c r="P103">
        <v>-0.2</v>
      </c>
      <c r="Q103">
        <v>0.3</v>
      </c>
      <c r="R103">
        <v>90</v>
      </c>
      <c r="S103" t="s">
        <v>111</v>
      </c>
      <c r="T103" t="s">
        <v>109</v>
      </c>
      <c r="U103">
        <f t="shared" si="4"/>
        <v>99.991316081543644</v>
      </c>
      <c r="W103">
        <v>97</v>
      </c>
      <c r="X103">
        <v>0.1</v>
      </c>
      <c r="Y103">
        <v>100</v>
      </c>
      <c r="Z103">
        <v>-0.2</v>
      </c>
      <c r="AA103">
        <v>0.3</v>
      </c>
      <c r="AB103">
        <v>90</v>
      </c>
      <c r="AC103" t="s">
        <v>114</v>
      </c>
      <c r="AD103" t="s">
        <v>109</v>
      </c>
      <c r="AE103">
        <f t="shared" si="5"/>
        <v>5.7696159961475058</v>
      </c>
      <c r="AG103">
        <v>97</v>
      </c>
      <c r="AH103">
        <v>0.1</v>
      </c>
      <c r="AI103">
        <v>100</v>
      </c>
      <c r="AJ103">
        <v>-0.2</v>
      </c>
      <c r="AK103">
        <v>0.3</v>
      </c>
      <c r="AL103">
        <v>90</v>
      </c>
      <c r="AM103" t="s">
        <v>111</v>
      </c>
      <c r="AN103" t="s">
        <v>116</v>
      </c>
      <c r="AO103">
        <f t="shared" si="6"/>
        <v>99.991316081543644</v>
      </c>
      <c r="AQ103">
        <v>97</v>
      </c>
      <c r="AR103">
        <v>0.1</v>
      </c>
      <c r="AS103">
        <v>100</v>
      </c>
      <c r="AT103">
        <v>-0.2</v>
      </c>
      <c r="AU103">
        <v>0.3</v>
      </c>
      <c r="AV103">
        <v>90</v>
      </c>
      <c r="AW103" t="s">
        <v>114</v>
      </c>
      <c r="AX103" t="s">
        <v>116</v>
      </c>
    </row>
    <row r="104" spans="13:50" x14ac:dyDescent="0.25">
      <c r="M104">
        <v>98</v>
      </c>
      <c r="N104">
        <v>0.1</v>
      </c>
      <c r="O104">
        <v>100</v>
      </c>
      <c r="P104">
        <v>-0.2</v>
      </c>
      <c r="Q104">
        <v>0.3</v>
      </c>
      <c r="R104">
        <v>90</v>
      </c>
      <c r="S104" t="s">
        <v>111</v>
      </c>
      <c r="T104" t="s">
        <v>109</v>
      </c>
      <c r="U104">
        <f t="shared" si="4"/>
        <v>99.992104858242911</v>
      </c>
      <c r="W104">
        <v>98</v>
      </c>
      <c r="X104">
        <v>0.1</v>
      </c>
      <c r="Y104">
        <v>100</v>
      </c>
      <c r="Z104">
        <v>-0.2</v>
      </c>
      <c r="AA104">
        <v>0.3</v>
      </c>
      <c r="AB104">
        <v>90</v>
      </c>
      <c r="AC104" t="s">
        <v>114</v>
      </c>
      <c r="AD104" t="s">
        <v>109</v>
      </c>
      <c r="AE104">
        <f t="shared" si="5"/>
        <v>5.7696159961475058</v>
      </c>
      <c r="AG104">
        <v>98</v>
      </c>
      <c r="AH104">
        <v>0.1</v>
      </c>
      <c r="AI104">
        <v>100</v>
      </c>
      <c r="AJ104">
        <v>-0.2</v>
      </c>
      <c r="AK104">
        <v>0.3</v>
      </c>
      <c r="AL104">
        <v>90</v>
      </c>
      <c r="AM104" t="s">
        <v>111</v>
      </c>
      <c r="AN104" t="s">
        <v>116</v>
      </c>
      <c r="AO104">
        <f t="shared" si="6"/>
        <v>99.992104858242911</v>
      </c>
      <c r="AQ104">
        <v>98</v>
      </c>
      <c r="AR104">
        <v>0.1</v>
      </c>
      <c r="AS104">
        <v>100</v>
      </c>
      <c r="AT104">
        <v>-0.2</v>
      </c>
      <c r="AU104">
        <v>0.3</v>
      </c>
      <c r="AV104">
        <v>90</v>
      </c>
      <c r="AW104" t="s">
        <v>114</v>
      </c>
      <c r="AX104" t="s">
        <v>116</v>
      </c>
    </row>
    <row r="105" spans="13:50" x14ac:dyDescent="0.25">
      <c r="M105">
        <v>99</v>
      </c>
      <c r="N105">
        <v>0.1</v>
      </c>
      <c r="O105">
        <v>100</v>
      </c>
      <c r="P105">
        <v>-0.2</v>
      </c>
      <c r="Q105">
        <v>0.3</v>
      </c>
      <c r="R105">
        <v>90</v>
      </c>
      <c r="S105" t="s">
        <v>111</v>
      </c>
      <c r="T105" t="s">
        <v>109</v>
      </c>
      <c r="U105">
        <f t="shared" si="4"/>
        <v>99.992822560864255</v>
      </c>
      <c r="W105">
        <v>99</v>
      </c>
      <c r="X105">
        <v>0.1</v>
      </c>
      <c r="Y105">
        <v>100</v>
      </c>
      <c r="Z105">
        <v>-0.2</v>
      </c>
      <c r="AA105">
        <v>0.3</v>
      </c>
      <c r="AB105">
        <v>90</v>
      </c>
      <c r="AC105" t="s">
        <v>114</v>
      </c>
      <c r="AD105" t="s">
        <v>109</v>
      </c>
      <c r="AE105">
        <f t="shared" si="5"/>
        <v>5.7696160200310764</v>
      </c>
      <c r="AG105">
        <v>99</v>
      </c>
      <c r="AH105">
        <v>0.1</v>
      </c>
      <c r="AI105">
        <v>100</v>
      </c>
      <c r="AJ105">
        <v>-0.2</v>
      </c>
      <c r="AK105">
        <v>0.3</v>
      </c>
      <c r="AL105">
        <v>90</v>
      </c>
      <c r="AM105" t="s">
        <v>111</v>
      </c>
      <c r="AN105" t="s">
        <v>116</v>
      </c>
      <c r="AO105">
        <f t="shared" si="6"/>
        <v>99.992822560864255</v>
      </c>
      <c r="AQ105">
        <v>99</v>
      </c>
      <c r="AR105">
        <v>0.1</v>
      </c>
      <c r="AS105">
        <v>100</v>
      </c>
      <c r="AT105">
        <v>-0.2</v>
      </c>
      <c r="AU105">
        <v>0.3</v>
      </c>
      <c r="AV105">
        <v>90</v>
      </c>
      <c r="AW105" t="s">
        <v>114</v>
      </c>
      <c r="AX105" t="s">
        <v>116</v>
      </c>
    </row>
    <row r="106" spans="13:50" x14ac:dyDescent="0.25">
      <c r="M106">
        <v>100</v>
      </c>
      <c r="N106">
        <v>0.1</v>
      </c>
      <c r="O106">
        <v>100</v>
      </c>
      <c r="P106">
        <v>-0.2</v>
      </c>
      <c r="Q106">
        <v>0.3</v>
      </c>
      <c r="R106">
        <v>90</v>
      </c>
      <c r="S106" t="s">
        <v>111</v>
      </c>
      <c r="T106" t="s">
        <v>109</v>
      </c>
      <c r="U106">
        <f t="shared" si="4"/>
        <v>99.993474679785592</v>
      </c>
      <c r="W106">
        <v>100</v>
      </c>
      <c r="X106">
        <v>0.1</v>
      </c>
      <c r="Y106">
        <v>100</v>
      </c>
      <c r="Z106">
        <v>-0.2</v>
      </c>
      <c r="AA106">
        <v>0.3</v>
      </c>
      <c r="AB106">
        <v>90</v>
      </c>
      <c r="AC106" t="s">
        <v>114</v>
      </c>
      <c r="AD106" t="s">
        <v>109</v>
      </c>
      <c r="AE106">
        <f t="shared" si="5"/>
        <v>5.7696160200310764</v>
      </c>
      <c r="AG106">
        <v>100</v>
      </c>
      <c r="AH106">
        <v>0.1</v>
      </c>
      <c r="AI106">
        <v>100</v>
      </c>
      <c r="AJ106">
        <v>-0.2</v>
      </c>
      <c r="AK106">
        <v>0.3</v>
      </c>
      <c r="AL106">
        <v>90</v>
      </c>
      <c r="AM106" t="s">
        <v>111</v>
      </c>
      <c r="AN106" t="s">
        <v>116</v>
      </c>
      <c r="AO106">
        <f t="shared" si="6"/>
        <v>99.993474679785592</v>
      </c>
      <c r="AQ106">
        <v>100</v>
      </c>
      <c r="AR106">
        <v>0.1</v>
      </c>
      <c r="AS106">
        <v>100</v>
      </c>
      <c r="AT106">
        <v>-0.2</v>
      </c>
      <c r="AU106">
        <v>0.3</v>
      </c>
      <c r="AV106">
        <v>90</v>
      </c>
      <c r="AW106" t="s">
        <v>114</v>
      </c>
      <c r="AX106" t="s">
        <v>116</v>
      </c>
    </row>
  </sheetData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11</vt:i4>
      </vt:variant>
      <vt:variant>
        <vt:lpstr>Nazwane zakresy</vt:lpstr>
      </vt:variant>
      <vt:variant>
        <vt:i4>1</vt:i4>
      </vt:variant>
    </vt:vector>
  </HeadingPairs>
  <TitlesOfParts>
    <vt:vector size="12" baseType="lpstr">
      <vt:lpstr>Plusiki</vt:lpstr>
      <vt:lpstr>Lab1</vt:lpstr>
      <vt:lpstr>Lab2</vt:lpstr>
      <vt:lpstr>Lab3</vt:lpstr>
      <vt:lpstr>Lab3 (2)</vt:lpstr>
      <vt:lpstr>Lab3 (3)</vt:lpstr>
      <vt:lpstr>Lab3(4)</vt:lpstr>
      <vt:lpstr>Lab4</vt:lpstr>
      <vt:lpstr>Lab4(1)</vt:lpstr>
      <vt:lpstr>Obligacje</vt:lpstr>
      <vt:lpstr>Lab5</vt:lpstr>
      <vt:lpstr>NOMINAŁ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pioro grzegorz</dc:creator>
  <cp:lastModifiedBy>pioro grzegorz</cp:lastModifiedBy>
  <dcterms:created xsi:type="dcterms:W3CDTF">2023-02-20T15:11:10Z</dcterms:created>
  <dcterms:modified xsi:type="dcterms:W3CDTF">2023-03-20T16:44:57Z</dcterms:modified>
</cp:coreProperties>
</file>